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oseph.kicko\Downloads\"/>
    </mc:Choice>
  </mc:AlternateContent>
  <xr:revisionPtr revIDLastSave="0" documentId="8_{0AC2AF48-12D4-41A0-BB50-F2BF6E09A9CC}" xr6:coauthVersionLast="47" xr6:coauthVersionMax="47" xr10:uidLastSave="{00000000-0000-0000-0000-000000000000}"/>
  <bookViews>
    <workbookView xWindow="-120" yWindow="-120" windowWidth="29040" windowHeight="15720" xr2:uid="{32D3FA34-B6CD-4B4F-9416-1538918CF087}"/>
  </bookViews>
  <sheets>
    <sheet name="Shipment Data Updated" sheetId="5" r:id="rId1"/>
    <sheet name="Report List" sheetId="19" r:id="rId2"/>
    <sheet name="Selection Lists" sheetId="2" r:id="rId3"/>
    <sheet name="Customer List" sheetId="18" r:id="rId4"/>
    <sheet name="Approved Vendors" sheetId="11" r:id="rId5"/>
    <sheet name="Source Codes" sheetId="6" r:id="rId6"/>
    <sheet name="Form Codes" sheetId="7" r:id="rId7"/>
    <sheet name="Hazardous Waste Treatment Codes" sheetId="8" r:id="rId8"/>
    <sheet name="EWC Codes" sheetId="9" r:id="rId9"/>
  </sheets>
  <definedNames>
    <definedName name="_xlnm._FilterDatabase" localSheetId="1" hidden="1">'Report List'!$A$1:$B$1</definedName>
    <definedName name="_xlnm._FilterDatabase" localSheetId="2" hidden="1">'Selection Lists'!$A$1:$A$26</definedName>
    <definedName name="_xlnm._FilterDatabase" localSheetId="0" hidden="1">'Shipment Data Updated'!$C$2:$AR$160</definedName>
    <definedName name="GeneratorCustomerNames">#REF!</definedName>
    <definedName name="GeneratorSite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183" i="5" l="1"/>
  <c r="AM183" i="5"/>
  <c r="AA183" i="5"/>
  <c r="Z183" i="5"/>
  <c r="Y183" i="5"/>
  <c r="X183" i="5"/>
  <c r="K183" i="5"/>
  <c r="I183" i="5"/>
  <c r="J183" i="5" s="1"/>
  <c r="K182" i="5"/>
  <c r="K181" i="5"/>
  <c r="K176" i="5"/>
  <c r="K175" i="5"/>
  <c r="K169" i="5"/>
  <c r="K168" i="5"/>
  <c r="K164" i="5"/>
  <c r="K163" i="5"/>
  <c r="K158" i="5"/>
  <c r="K157" i="5"/>
  <c r="K146" i="5"/>
  <c r="K145" i="5"/>
  <c r="K137" i="5"/>
  <c r="K136" i="5"/>
  <c r="K128" i="5"/>
  <c r="K127" i="5"/>
  <c r="K122" i="5"/>
  <c r="K117" i="5"/>
  <c r="K105" i="5"/>
  <c r="K99" i="5"/>
  <c r="K98" i="5"/>
  <c r="K94" i="5"/>
  <c r="K93" i="5"/>
  <c r="K86" i="5"/>
  <c r="K85" i="5"/>
  <c r="K81" i="5"/>
  <c r="K80" i="5"/>
  <c r="K77" i="5"/>
  <c r="K76" i="5"/>
  <c r="K68" i="5"/>
  <c r="K67" i="5"/>
  <c r="K62" i="5"/>
  <c r="K61" i="5"/>
  <c r="K57" i="5"/>
  <c r="K56" i="5"/>
  <c r="K52" i="5"/>
  <c r="K51" i="5"/>
  <c r="K44" i="5"/>
  <c r="K43" i="5"/>
  <c r="K39" i="5"/>
  <c r="K38" i="5"/>
  <c r="K29" i="5"/>
  <c r="K28" i="5"/>
  <c r="K23" i="5"/>
  <c r="K22" i="5"/>
  <c r="K18" i="5"/>
  <c r="K17" i="5"/>
  <c r="K14" i="5"/>
  <c r="K13" i="5"/>
  <c r="K7" i="5"/>
  <c r="K6" i="5"/>
  <c r="K180" i="5"/>
  <c r="K174" i="5"/>
  <c r="K170" i="5"/>
  <c r="K166" i="5"/>
  <c r="K165" i="5"/>
  <c r="K162" i="5"/>
  <c r="K161" i="5"/>
  <c r="K156" i="5"/>
  <c r="K155" i="5"/>
  <c r="K147" i="5"/>
  <c r="K141" i="5"/>
  <c r="K139" i="5"/>
  <c r="K138" i="5"/>
  <c r="K133" i="5"/>
  <c r="K129" i="5"/>
  <c r="K126" i="5"/>
  <c r="K123" i="5"/>
  <c r="K121" i="5"/>
  <c r="K120" i="5"/>
  <c r="K119" i="5"/>
  <c r="K110" i="5"/>
  <c r="K102" i="5"/>
  <c r="K100" i="5"/>
  <c r="K97" i="5"/>
  <c r="K96" i="5"/>
  <c r="K95" i="5"/>
  <c r="K89" i="5"/>
  <c r="K87" i="5"/>
  <c r="K84" i="5"/>
  <c r="K83" i="5"/>
  <c r="K78" i="5"/>
  <c r="K74" i="5"/>
  <c r="K69" i="5"/>
  <c r="K63" i="5"/>
  <c r="K60" i="5"/>
  <c r="K59" i="5"/>
  <c r="K58" i="5"/>
  <c r="K45" i="5"/>
  <c r="K42" i="5"/>
  <c r="K40" i="5"/>
  <c r="K26" i="5"/>
  <c r="K25" i="5"/>
  <c r="K21" i="5"/>
  <c r="K15" i="5"/>
  <c r="K12" i="5"/>
  <c r="K9" i="5"/>
  <c r="K8" i="5"/>
  <c r="K11" i="5"/>
  <c r="K20" i="5"/>
  <c r="K24" i="5"/>
  <c r="K41" i="5"/>
  <c r="K49" i="5"/>
  <c r="K54" i="5"/>
  <c r="K82" i="5"/>
  <c r="K101" i="5"/>
  <c r="K109" i="5"/>
  <c r="K118" i="5"/>
  <c r="K132" i="5"/>
  <c r="K150" i="5"/>
  <c r="AW150" i="5" l="1"/>
  <c r="AW132" i="5"/>
  <c r="AW118" i="5"/>
  <c r="AW109" i="5"/>
  <c r="AW101" i="5"/>
  <c r="AW82" i="5"/>
  <c r="AW54" i="5"/>
  <c r="AW49" i="5"/>
  <c r="AW41" i="5"/>
  <c r="AW24" i="5"/>
  <c r="AW20" i="5"/>
  <c r="AW11" i="5"/>
  <c r="AT179" i="5"/>
  <c r="AT178" i="5"/>
  <c r="AT151" i="5"/>
  <c r="AT154" i="5"/>
  <c r="AT153" i="5"/>
  <c r="AT152" i="5"/>
  <c r="AT148" i="5"/>
  <c r="AT112" i="5"/>
  <c r="AT115" i="5"/>
  <c r="AT114" i="5"/>
  <c r="AT113" i="5"/>
  <c r="AT70" i="5"/>
  <c r="AT73" i="5"/>
  <c r="AT72" i="5"/>
  <c r="AT71" i="5"/>
  <c r="AT30" i="5"/>
  <c r="AT33" i="5"/>
  <c r="AT32" i="5"/>
  <c r="AT31" i="5"/>
  <c r="AT150" i="5"/>
  <c r="AT132" i="5"/>
  <c r="AT118" i="5"/>
  <c r="AT109" i="5"/>
  <c r="AT101" i="5"/>
  <c r="AT82" i="5"/>
  <c r="AT54" i="5"/>
  <c r="AT49" i="5"/>
  <c r="AT41" i="5"/>
  <c r="AT24" i="5"/>
  <c r="AT20" i="5"/>
  <c r="AT11" i="5"/>
  <c r="AT180" i="5"/>
  <c r="AT174" i="5"/>
  <c r="AT170" i="5"/>
  <c r="AT171" i="5"/>
  <c r="AT166" i="5"/>
  <c r="AT165" i="5"/>
  <c r="AT162" i="5"/>
  <c r="AT161" i="5"/>
  <c r="AT156" i="5"/>
  <c r="AT155" i="5"/>
  <c r="AT147" i="5"/>
  <c r="AT141" i="5"/>
  <c r="AT139" i="5"/>
  <c r="AT140" i="5"/>
  <c r="AT138" i="5"/>
  <c r="AT133" i="5"/>
  <c r="AT129" i="5"/>
  <c r="AT126" i="5"/>
  <c r="AT123" i="5"/>
  <c r="AT121" i="5"/>
  <c r="AT120" i="5"/>
  <c r="AT119" i="5"/>
  <c r="AT110" i="5"/>
  <c r="AT111" i="5"/>
  <c r="AT102" i="5"/>
  <c r="AT100" i="5"/>
  <c r="AT97" i="5"/>
  <c r="AT96" i="5"/>
  <c r="AT95" i="5"/>
  <c r="AT89" i="5"/>
  <c r="AT87" i="5"/>
  <c r="AT88" i="5"/>
  <c r="AT84" i="5"/>
  <c r="AT83" i="5"/>
  <c r="AT78" i="5"/>
  <c r="AT74" i="5"/>
  <c r="AT69" i="5"/>
  <c r="AT64" i="5"/>
  <c r="AT63" i="5"/>
  <c r="AT60" i="5"/>
  <c r="AT59" i="5"/>
  <c r="AT58" i="5"/>
  <c r="AT53" i="5"/>
  <c r="AT50" i="5"/>
  <c r="AT45" i="5"/>
  <c r="AT42" i="5"/>
  <c r="AT40" i="5"/>
  <c r="AT35" i="5"/>
  <c r="AT26" i="5"/>
  <c r="AT27" i="5"/>
  <c r="AT25" i="5"/>
  <c r="AT21" i="5"/>
  <c r="AT15" i="5"/>
  <c r="AT12" i="5"/>
  <c r="AT9" i="5"/>
  <c r="AT10" i="5"/>
  <c r="AT8" i="5"/>
  <c r="AT137" i="5"/>
  <c r="AT136" i="5"/>
  <c r="AT135" i="5"/>
  <c r="AT134" i="5"/>
  <c r="AT131" i="5"/>
  <c r="AT128" i="5"/>
  <c r="AT127" i="5"/>
  <c r="AT125" i="5"/>
  <c r="AT124" i="5"/>
  <c r="AT122" i="5"/>
  <c r="AT116" i="5"/>
  <c r="AT117" i="5"/>
  <c r="AT108" i="5"/>
  <c r="AT107" i="5"/>
  <c r="AT104" i="5"/>
  <c r="AT103" i="5"/>
  <c r="AT105" i="5"/>
  <c r="AT98" i="5"/>
  <c r="AT99" i="5"/>
  <c r="AT92" i="5"/>
  <c r="AT91" i="5"/>
  <c r="AT90" i="5"/>
  <c r="AT94" i="5"/>
  <c r="AT93" i="5"/>
  <c r="AT86" i="5"/>
  <c r="AT85" i="5"/>
  <c r="AT79" i="5"/>
  <c r="AT81" i="5"/>
  <c r="AT80" i="5"/>
  <c r="AT75" i="5"/>
  <c r="AT77" i="5"/>
  <c r="AT76" i="5"/>
  <c r="AT65" i="5"/>
  <c r="AT66" i="5"/>
  <c r="AT68" i="5"/>
  <c r="AT67" i="5"/>
  <c r="AT62" i="5"/>
  <c r="AT61" i="5"/>
  <c r="AT55" i="5"/>
  <c r="AT57" i="5"/>
  <c r="AT56" i="5"/>
  <c r="AT51" i="5"/>
  <c r="AT52" i="5"/>
  <c r="AT48" i="5"/>
  <c r="AT47" i="5"/>
  <c r="AT46" i="5"/>
  <c r="AT44" i="5"/>
  <c r="AT43" i="5"/>
  <c r="AT39" i="5"/>
  <c r="AT38" i="5"/>
  <c r="AT37" i="5"/>
  <c r="AT36" i="5"/>
  <c r="AT34" i="5"/>
  <c r="AT29" i="5"/>
  <c r="AT28" i="5"/>
  <c r="AT22" i="5"/>
  <c r="AT23" i="5"/>
  <c r="AT19" i="5"/>
  <c r="AT16" i="5"/>
  <c r="AT18" i="5"/>
  <c r="AT17" i="5"/>
  <c r="AT13" i="5"/>
  <c r="AT14" i="5"/>
  <c r="AT160" i="5"/>
  <c r="AT142" i="5"/>
  <c r="AT130" i="5"/>
  <c r="AT106" i="5"/>
  <c r="AT181" i="5"/>
  <c r="AT182" i="5"/>
  <c r="AT177" i="5"/>
  <c r="AT175" i="5"/>
  <c r="AT176" i="5"/>
  <c r="AT173" i="5"/>
  <c r="AT172" i="5"/>
  <c r="AT169" i="5"/>
  <c r="AT168" i="5"/>
  <c r="AT167" i="5"/>
  <c r="AT164" i="5"/>
  <c r="AT163" i="5"/>
  <c r="AT159" i="5"/>
  <c r="AT158" i="5"/>
  <c r="AT157" i="5"/>
  <c r="AT146" i="5"/>
  <c r="AT145" i="5"/>
  <c r="AT144" i="5"/>
  <c r="AT143" i="5"/>
  <c r="AT5" i="5"/>
  <c r="AT3" i="5"/>
  <c r="AT4" i="5"/>
  <c r="AT7" i="5"/>
  <c r="AT6" i="5"/>
  <c r="AT149" i="5"/>
  <c r="AM6" i="5"/>
  <c r="AM7" i="5"/>
  <c r="AM4" i="5"/>
  <c r="AM3" i="5"/>
  <c r="AM5" i="5"/>
  <c r="AM8" i="5"/>
  <c r="AM10" i="5"/>
  <c r="AM9" i="5"/>
  <c r="AM14" i="5"/>
  <c r="AM13" i="5"/>
  <c r="AM12" i="5"/>
  <c r="AM17" i="5"/>
  <c r="AM18" i="5"/>
  <c r="AM15" i="5"/>
  <c r="AM16" i="5"/>
  <c r="AM19" i="5"/>
  <c r="AM23" i="5"/>
  <c r="AM22" i="5"/>
  <c r="AM21" i="5"/>
  <c r="AM25" i="5"/>
  <c r="AM28" i="5"/>
  <c r="AM29" i="5"/>
  <c r="AM27" i="5"/>
  <c r="AM26" i="5"/>
  <c r="AM34" i="5"/>
  <c r="AM35" i="5"/>
  <c r="AM36" i="5"/>
  <c r="AM37" i="5"/>
  <c r="AM38" i="5"/>
  <c r="AM39" i="5"/>
  <c r="AM40" i="5"/>
  <c r="AM43" i="5"/>
  <c r="AM44" i="5"/>
  <c r="AM42" i="5"/>
  <c r="AM45" i="5"/>
  <c r="AM46" i="5"/>
  <c r="AM47" i="5"/>
  <c r="AM48" i="5"/>
  <c r="AM52" i="5"/>
  <c r="AM51" i="5"/>
  <c r="AM50" i="5"/>
  <c r="AM53" i="5"/>
  <c r="AM56" i="5"/>
  <c r="AM57" i="5"/>
  <c r="AM55" i="5"/>
  <c r="AM58" i="5"/>
  <c r="AM59" i="5"/>
  <c r="AM60" i="5"/>
  <c r="AM61" i="5"/>
  <c r="AM62" i="5"/>
  <c r="AM63" i="5"/>
  <c r="AM64" i="5"/>
  <c r="AM67" i="5"/>
  <c r="AM68" i="5"/>
  <c r="AM66" i="5"/>
  <c r="AM65" i="5"/>
  <c r="AM69" i="5"/>
  <c r="AM74" i="5"/>
  <c r="AM76" i="5"/>
  <c r="AM77" i="5"/>
  <c r="AM75" i="5"/>
  <c r="AM78" i="5"/>
  <c r="AM80" i="5"/>
  <c r="AM81" i="5"/>
  <c r="AM79" i="5"/>
  <c r="AM83" i="5"/>
  <c r="AM84" i="5"/>
  <c r="AM85" i="5"/>
  <c r="AM86" i="5"/>
  <c r="AM88" i="5"/>
  <c r="AM87" i="5"/>
  <c r="AM89" i="5"/>
  <c r="AM93" i="5"/>
  <c r="AM94" i="5"/>
  <c r="AM90" i="5"/>
  <c r="AM91" i="5"/>
  <c r="AM92" i="5"/>
  <c r="AM95" i="5"/>
  <c r="AM96" i="5"/>
  <c r="AM97" i="5"/>
  <c r="AM99" i="5"/>
  <c r="AM98" i="5"/>
  <c r="AM100" i="5"/>
  <c r="AM102" i="5"/>
  <c r="AM105" i="5"/>
  <c r="AM103" i="5"/>
  <c r="AM104" i="5"/>
  <c r="AM107" i="5"/>
  <c r="AM108" i="5"/>
  <c r="AM111" i="5"/>
  <c r="AM110" i="5"/>
  <c r="AM117" i="5"/>
  <c r="AM116" i="5"/>
  <c r="AM119" i="5"/>
  <c r="AM122" i="5"/>
  <c r="AM120" i="5"/>
  <c r="AM121" i="5"/>
  <c r="AM124" i="5"/>
  <c r="AM125" i="5"/>
  <c r="AM123" i="5"/>
  <c r="AM127" i="5"/>
  <c r="AM128" i="5"/>
  <c r="AM126" i="5"/>
  <c r="AM131" i="5"/>
  <c r="AM129" i="5"/>
  <c r="AM134" i="5"/>
  <c r="AM135" i="5"/>
  <c r="AM136" i="5"/>
  <c r="AM137" i="5"/>
  <c r="AM133" i="5"/>
  <c r="AM138" i="5"/>
  <c r="AM140" i="5"/>
  <c r="AM139" i="5"/>
  <c r="AM143" i="5"/>
  <c r="AM144" i="5"/>
  <c r="AM145" i="5"/>
  <c r="AM146" i="5"/>
  <c r="AM141" i="5"/>
  <c r="AM147" i="5"/>
  <c r="AM157" i="5"/>
  <c r="AM158" i="5"/>
  <c r="AM155" i="5"/>
  <c r="AM156" i="5"/>
  <c r="AM159" i="5"/>
  <c r="AM161" i="5"/>
  <c r="AM163" i="5"/>
  <c r="AM164" i="5"/>
  <c r="AM162" i="5"/>
  <c r="AM165" i="5"/>
  <c r="AM167" i="5"/>
  <c r="AM168" i="5"/>
  <c r="AM169" i="5"/>
  <c r="AM166" i="5"/>
  <c r="AM171" i="5"/>
  <c r="AM170" i="5"/>
  <c r="AM172" i="5"/>
  <c r="AM173" i="5"/>
  <c r="AM176" i="5"/>
  <c r="AM175" i="5"/>
  <c r="AM174" i="5"/>
  <c r="AM177" i="5"/>
  <c r="AM182" i="5"/>
  <c r="AM181" i="5"/>
  <c r="AM180" i="5"/>
  <c r="AM11" i="5"/>
  <c r="AM20" i="5"/>
  <c r="AM24" i="5"/>
  <c r="AM41" i="5"/>
  <c r="AM49" i="5"/>
  <c r="AM54" i="5"/>
  <c r="AM82" i="5"/>
  <c r="AM101" i="5"/>
  <c r="AM109" i="5"/>
  <c r="AM118" i="5"/>
  <c r="AM132" i="5"/>
  <c r="AM150" i="5"/>
  <c r="AM31" i="5"/>
  <c r="AM32" i="5"/>
  <c r="AM33" i="5"/>
  <c r="AM30" i="5"/>
  <c r="AM71" i="5"/>
  <c r="AM72" i="5"/>
  <c r="AM73" i="5"/>
  <c r="AM70" i="5"/>
  <c r="AM113" i="5"/>
  <c r="AM114" i="5"/>
  <c r="AM115" i="5"/>
  <c r="AM112" i="5"/>
  <c r="AM149" i="5"/>
  <c r="AM148" i="5"/>
  <c r="AM152" i="5"/>
  <c r="AM153" i="5"/>
  <c r="AM154" i="5"/>
  <c r="AM151" i="5"/>
  <c r="AM178" i="5"/>
  <c r="AM179" i="5"/>
  <c r="AM106" i="5"/>
  <c r="AM130" i="5"/>
  <c r="AM142" i="5"/>
  <c r="AM160" i="5"/>
  <c r="AA151" i="5"/>
  <c r="Z151" i="5"/>
  <c r="Y151" i="5"/>
  <c r="X151" i="5"/>
  <c r="AA154" i="5"/>
  <c r="Z154" i="5"/>
  <c r="Y154" i="5"/>
  <c r="X154" i="5"/>
  <c r="AA153" i="5"/>
  <c r="Z153" i="5"/>
  <c r="Y153" i="5"/>
  <c r="X153" i="5"/>
  <c r="AA152" i="5"/>
  <c r="Z152" i="5"/>
  <c r="Y152" i="5"/>
  <c r="X152" i="5"/>
  <c r="AA112" i="5"/>
  <c r="Z112" i="5"/>
  <c r="Y112" i="5"/>
  <c r="X112" i="5"/>
  <c r="AA115" i="5"/>
  <c r="Z115" i="5"/>
  <c r="Y115" i="5"/>
  <c r="X115" i="5"/>
  <c r="AA114" i="5"/>
  <c r="Z114" i="5"/>
  <c r="Y114" i="5"/>
  <c r="X114" i="5"/>
  <c r="AA113" i="5"/>
  <c r="Z113" i="5"/>
  <c r="Y113" i="5"/>
  <c r="X113" i="5"/>
  <c r="AA70" i="5"/>
  <c r="Z70" i="5"/>
  <c r="Y70" i="5"/>
  <c r="X70" i="5"/>
  <c r="AA73" i="5"/>
  <c r="Z73" i="5"/>
  <c r="Y73" i="5"/>
  <c r="X73" i="5"/>
  <c r="AA72" i="5"/>
  <c r="Z72" i="5"/>
  <c r="Y72" i="5"/>
  <c r="X72" i="5"/>
  <c r="AA71" i="5"/>
  <c r="Z71" i="5"/>
  <c r="Y71" i="5"/>
  <c r="X71" i="5"/>
  <c r="J149" i="5"/>
  <c r="J178" i="5"/>
  <c r="J179" i="5"/>
  <c r="I151" i="5"/>
  <c r="J151" i="5" s="1"/>
  <c r="I154" i="5"/>
  <c r="J154" i="5" s="1"/>
  <c r="I153" i="5"/>
  <c r="J153" i="5" s="1"/>
  <c r="I152" i="5"/>
  <c r="J152" i="5" s="1"/>
  <c r="I112" i="5"/>
  <c r="J112" i="5" s="1"/>
  <c r="I115" i="5"/>
  <c r="J115" i="5" s="1"/>
  <c r="I114" i="5"/>
  <c r="J114" i="5" s="1"/>
  <c r="I113" i="5"/>
  <c r="J113" i="5" s="1"/>
  <c r="I70" i="5"/>
  <c r="J70" i="5" s="1"/>
  <c r="I73" i="5"/>
  <c r="J73" i="5" s="1"/>
  <c r="I72" i="5"/>
  <c r="J72" i="5" s="1"/>
  <c r="I71" i="5"/>
  <c r="J71" i="5" s="1"/>
  <c r="I30" i="5"/>
  <c r="J30" i="5" s="1"/>
  <c r="I33" i="5"/>
  <c r="J33" i="5" s="1"/>
  <c r="I32" i="5"/>
  <c r="J32" i="5" s="1"/>
  <c r="I31" i="5"/>
  <c r="J31" i="5" s="1"/>
  <c r="X32" i="5"/>
  <c r="X33" i="5"/>
  <c r="X30" i="5"/>
  <c r="Y32" i="5"/>
  <c r="Y33" i="5"/>
  <c r="Y30" i="5"/>
  <c r="Z32" i="5"/>
  <c r="Z33" i="5"/>
  <c r="Z30" i="5"/>
  <c r="AA32" i="5"/>
  <c r="AA33" i="5"/>
  <c r="AA30" i="5"/>
  <c r="X31" i="5"/>
  <c r="Y31" i="5"/>
  <c r="Z31" i="5"/>
  <c r="AA31" i="5"/>
  <c r="AA6" i="5"/>
  <c r="AA7" i="5"/>
  <c r="AA14" i="5"/>
  <c r="AA13" i="5"/>
  <c r="AA17" i="5"/>
  <c r="AA18" i="5"/>
  <c r="AA23" i="5"/>
  <c r="AA22" i="5"/>
  <c r="AA28" i="5"/>
  <c r="AA29" i="5"/>
  <c r="AA38" i="5"/>
  <c r="AA39" i="5"/>
  <c r="AA43" i="5"/>
  <c r="AA44" i="5"/>
  <c r="AA52" i="5"/>
  <c r="AA51" i="5"/>
  <c r="AA56" i="5"/>
  <c r="AA57" i="5"/>
  <c r="AA8" i="5"/>
  <c r="AA10" i="5"/>
  <c r="AA9" i="5"/>
  <c r="AA12" i="5"/>
  <c r="AA15" i="5"/>
  <c r="AA21" i="5"/>
  <c r="AA25" i="5"/>
  <c r="AA27" i="5"/>
  <c r="AA26" i="5"/>
  <c r="AA35" i="5"/>
  <c r="AA40" i="5"/>
  <c r="AA42" i="5"/>
  <c r="AA45" i="5"/>
  <c r="AA50" i="5"/>
  <c r="AA53" i="5"/>
  <c r="AA58" i="5"/>
  <c r="AA59" i="5"/>
  <c r="AA4" i="5"/>
  <c r="AA3" i="5"/>
  <c r="AA5" i="5"/>
  <c r="AA16" i="5"/>
  <c r="AA19" i="5"/>
  <c r="AA34" i="5"/>
  <c r="AA36" i="5"/>
  <c r="AA37" i="5"/>
  <c r="AA46" i="5"/>
  <c r="AA47" i="5"/>
  <c r="AA48" i="5"/>
  <c r="AA55" i="5"/>
  <c r="AA11" i="5"/>
  <c r="AA20" i="5"/>
  <c r="AA24" i="5"/>
  <c r="AA41" i="5"/>
  <c r="AA49" i="5"/>
  <c r="AA54" i="5"/>
  <c r="AA60" i="5"/>
  <c r="AA63" i="5"/>
  <c r="AA64" i="5"/>
  <c r="AA69" i="5"/>
  <c r="AA74" i="5"/>
  <c r="AA78" i="5"/>
  <c r="AA83" i="5"/>
  <c r="AA84" i="5"/>
  <c r="AA88" i="5"/>
  <c r="AA87" i="5"/>
  <c r="AA89" i="5"/>
  <c r="AA95" i="5"/>
  <c r="AA96" i="5"/>
  <c r="AA97" i="5"/>
  <c r="AA100" i="5"/>
  <c r="AA102" i="5"/>
  <c r="AA111" i="5"/>
  <c r="AA110" i="5"/>
  <c r="AA119" i="5"/>
  <c r="AA61" i="5"/>
  <c r="AA62" i="5"/>
  <c r="AA67" i="5"/>
  <c r="AA68" i="5"/>
  <c r="AA76" i="5"/>
  <c r="AA77" i="5"/>
  <c r="AA80" i="5"/>
  <c r="AA81" i="5"/>
  <c r="AA85" i="5"/>
  <c r="AA86" i="5"/>
  <c r="AA93" i="5"/>
  <c r="AA94" i="5"/>
  <c r="AA99" i="5"/>
  <c r="AA98" i="5"/>
  <c r="AA105" i="5"/>
  <c r="AA117" i="5"/>
  <c r="AA66" i="5"/>
  <c r="AA65" i="5"/>
  <c r="AA75" i="5"/>
  <c r="AA79" i="5"/>
  <c r="AA90" i="5"/>
  <c r="AA91" i="5"/>
  <c r="AA92" i="5"/>
  <c r="AA103" i="5"/>
  <c r="AA104" i="5"/>
  <c r="AA107" i="5"/>
  <c r="AA108" i="5"/>
  <c r="AA106" i="5"/>
  <c r="AA116" i="5"/>
  <c r="AA82" i="5"/>
  <c r="AA101" i="5"/>
  <c r="AA109" i="5"/>
  <c r="AA118" i="5"/>
  <c r="AA124" i="5"/>
  <c r="AA125" i="5"/>
  <c r="AA131" i="5"/>
  <c r="AA130" i="5"/>
  <c r="AA134" i="5"/>
  <c r="AA135" i="5"/>
  <c r="AA143" i="5"/>
  <c r="AA144" i="5"/>
  <c r="AA142" i="5"/>
  <c r="AA159" i="5"/>
  <c r="AA160" i="5"/>
  <c r="AA167" i="5"/>
  <c r="AA172" i="5"/>
  <c r="AA173" i="5"/>
  <c r="AA177" i="5"/>
  <c r="AA122" i="5"/>
  <c r="AA127" i="5"/>
  <c r="AA128" i="5"/>
  <c r="AA136" i="5"/>
  <c r="AA137" i="5"/>
  <c r="AA145" i="5"/>
  <c r="AA146" i="5"/>
  <c r="AA157" i="5"/>
  <c r="AA158" i="5"/>
  <c r="AA163" i="5"/>
  <c r="AA164" i="5"/>
  <c r="AA168" i="5"/>
  <c r="AA169" i="5"/>
  <c r="AA176" i="5"/>
  <c r="AA175" i="5"/>
  <c r="AA182" i="5"/>
  <c r="AA181" i="5"/>
  <c r="AA120" i="5"/>
  <c r="AA121" i="5"/>
  <c r="AA123" i="5"/>
  <c r="AA126" i="5"/>
  <c r="AA129" i="5"/>
  <c r="AA133" i="5"/>
  <c r="AA138" i="5"/>
  <c r="AA140" i="5"/>
  <c r="AA139" i="5"/>
  <c r="AA141" i="5"/>
  <c r="AA147" i="5"/>
  <c r="AA155" i="5"/>
  <c r="AA156" i="5"/>
  <c r="AA161" i="5"/>
  <c r="AA162" i="5"/>
  <c r="AA165" i="5"/>
  <c r="AA166" i="5"/>
  <c r="AA171" i="5"/>
  <c r="AA170" i="5"/>
  <c r="AA174" i="5"/>
  <c r="AA180" i="5"/>
  <c r="AA149" i="5"/>
  <c r="AA148" i="5"/>
  <c r="AA178" i="5"/>
  <c r="AA179" i="5"/>
  <c r="AA132" i="5"/>
  <c r="AA150" i="5"/>
  <c r="Z6" i="5"/>
  <c r="Z7" i="5"/>
  <c r="Z14" i="5"/>
  <c r="Z13" i="5"/>
  <c r="Z17" i="5"/>
  <c r="Z18" i="5"/>
  <c r="Z23" i="5"/>
  <c r="Z22" i="5"/>
  <c r="Z28" i="5"/>
  <c r="Z29" i="5"/>
  <c r="Z38" i="5"/>
  <c r="Z39" i="5"/>
  <c r="Z43" i="5"/>
  <c r="Z44" i="5"/>
  <c r="Z52" i="5"/>
  <c r="Z51" i="5"/>
  <c r="Z56" i="5"/>
  <c r="Z57" i="5"/>
  <c r="Z8" i="5"/>
  <c r="Z10" i="5"/>
  <c r="Z9" i="5"/>
  <c r="Z12" i="5"/>
  <c r="Z15" i="5"/>
  <c r="Z21" i="5"/>
  <c r="Z25" i="5"/>
  <c r="Z27" i="5"/>
  <c r="Z26" i="5"/>
  <c r="Z35" i="5"/>
  <c r="Z40" i="5"/>
  <c r="Z42" i="5"/>
  <c r="Z45" i="5"/>
  <c r="Z50" i="5"/>
  <c r="Z53" i="5"/>
  <c r="Z58" i="5"/>
  <c r="Z59" i="5"/>
  <c r="Z4" i="5"/>
  <c r="Z3" i="5"/>
  <c r="Z5" i="5"/>
  <c r="Z16" i="5"/>
  <c r="Z19" i="5"/>
  <c r="Z34" i="5"/>
  <c r="Z36" i="5"/>
  <c r="Z37" i="5"/>
  <c r="Z46" i="5"/>
  <c r="Z47" i="5"/>
  <c r="Z48" i="5"/>
  <c r="Z55" i="5"/>
  <c r="Z11" i="5"/>
  <c r="Z20" i="5"/>
  <c r="Z24" i="5"/>
  <c r="Z41" i="5"/>
  <c r="Z49" i="5"/>
  <c r="Z54" i="5"/>
  <c r="Z60" i="5"/>
  <c r="Z63" i="5"/>
  <c r="Z64" i="5"/>
  <c r="Z69" i="5"/>
  <c r="Z74" i="5"/>
  <c r="Z78" i="5"/>
  <c r="Z83" i="5"/>
  <c r="Z84" i="5"/>
  <c r="Z88" i="5"/>
  <c r="Z87" i="5"/>
  <c r="Z89" i="5"/>
  <c r="Z95" i="5"/>
  <c r="Z96" i="5"/>
  <c r="Z97" i="5"/>
  <c r="Z100" i="5"/>
  <c r="Z102" i="5"/>
  <c r="Z111" i="5"/>
  <c r="Z110" i="5"/>
  <c r="Z119" i="5"/>
  <c r="Z61" i="5"/>
  <c r="Z62" i="5"/>
  <c r="Z67" i="5"/>
  <c r="Z68" i="5"/>
  <c r="Z76" i="5"/>
  <c r="Z77" i="5"/>
  <c r="Z80" i="5"/>
  <c r="Z81" i="5"/>
  <c r="Z85" i="5"/>
  <c r="Z86" i="5"/>
  <c r="Z93" i="5"/>
  <c r="Z94" i="5"/>
  <c r="Z99" i="5"/>
  <c r="Z98" i="5"/>
  <c r="Z105" i="5"/>
  <c r="Z117" i="5"/>
  <c r="Z66" i="5"/>
  <c r="Z65" i="5"/>
  <c r="Z75" i="5"/>
  <c r="Z79" i="5"/>
  <c r="Z90" i="5"/>
  <c r="Z91" i="5"/>
  <c r="Z92" i="5"/>
  <c r="Z103" i="5"/>
  <c r="Z104" i="5"/>
  <c r="Z107" i="5"/>
  <c r="Z108" i="5"/>
  <c r="Z106" i="5"/>
  <c r="Z116" i="5"/>
  <c r="Z82" i="5"/>
  <c r="Z101" i="5"/>
  <c r="Z109" i="5"/>
  <c r="Z118" i="5"/>
  <c r="Z124" i="5"/>
  <c r="Z125" i="5"/>
  <c r="Z131" i="5"/>
  <c r="Z130" i="5"/>
  <c r="Z134" i="5"/>
  <c r="Z135" i="5"/>
  <c r="Z143" i="5"/>
  <c r="Z144" i="5"/>
  <c r="Z142" i="5"/>
  <c r="Z159" i="5"/>
  <c r="Z160" i="5"/>
  <c r="Z167" i="5"/>
  <c r="Z172" i="5"/>
  <c r="Z173" i="5"/>
  <c r="Z177" i="5"/>
  <c r="Z122" i="5"/>
  <c r="Z127" i="5"/>
  <c r="Z128" i="5"/>
  <c r="Z136" i="5"/>
  <c r="Z137" i="5"/>
  <c r="Z145" i="5"/>
  <c r="Z146" i="5"/>
  <c r="Z157" i="5"/>
  <c r="Z158" i="5"/>
  <c r="Z163" i="5"/>
  <c r="Z164" i="5"/>
  <c r="Z168" i="5"/>
  <c r="Z169" i="5"/>
  <c r="Z176" i="5"/>
  <c r="Z175" i="5"/>
  <c r="Z182" i="5"/>
  <c r="Z181" i="5"/>
  <c r="Z120" i="5"/>
  <c r="Z121" i="5"/>
  <c r="Z123" i="5"/>
  <c r="Z126" i="5"/>
  <c r="Z129" i="5"/>
  <c r="Z133" i="5"/>
  <c r="Z138" i="5"/>
  <c r="Z140" i="5"/>
  <c r="Z139" i="5"/>
  <c r="Z141" i="5"/>
  <c r="Z147" i="5"/>
  <c r="Z155" i="5"/>
  <c r="Z156" i="5"/>
  <c r="Z161" i="5"/>
  <c r="Z162" i="5"/>
  <c r="Z165" i="5"/>
  <c r="Z166" i="5"/>
  <c r="Z171" i="5"/>
  <c r="Z170" i="5"/>
  <c r="Z174" i="5"/>
  <c r="Z180" i="5"/>
  <c r="Z149" i="5"/>
  <c r="Z148" i="5"/>
  <c r="Z178" i="5"/>
  <c r="Z179" i="5"/>
  <c r="Z132" i="5"/>
  <c r="Z150" i="5"/>
  <c r="Y6" i="5"/>
  <c r="Y7" i="5"/>
  <c r="Y14" i="5"/>
  <c r="Y13" i="5"/>
  <c r="Y17" i="5"/>
  <c r="Y18" i="5"/>
  <c r="Y23" i="5"/>
  <c r="Y22" i="5"/>
  <c r="Y28" i="5"/>
  <c r="Y29" i="5"/>
  <c r="Y38" i="5"/>
  <c r="Y39" i="5"/>
  <c r="Y43" i="5"/>
  <c r="Y44" i="5"/>
  <c r="Y52" i="5"/>
  <c r="Y51" i="5"/>
  <c r="Y56" i="5"/>
  <c r="Y57" i="5"/>
  <c r="Y8" i="5"/>
  <c r="Y10" i="5"/>
  <c r="Y9" i="5"/>
  <c r="Y12" i="5"/>
  <c r="Y15" i="5"/>
  <c r="Y21" i="5"/>
  <c r="Y25" i="5"/>
  <c r="Y27" i="5"/>
  <c r="Y26" i="5"/>
  <c r="Y35" i="5"/>
  <c r="Y40" i="5"/>
  <c r="Y42" i="5"/>
  <c r="Y45" i="5"/>
  <c r="Y50" i="5"/>
  <c r="Y53" i="5"/>
  <c r="Y58" i="5"/>
  <c r="Y59" i="5"/>
  <c r="Y4" i="5"/>
  <c r="Y3" i="5"/>
  <c r="Y5" i="5"/>
  <c r="Y16" i="5"/>
  <c r="Y19" i="5"/>
  <c r="Y34" i="5"/>
  <c r="Y36" i="5"/>
  <c r="Y37" i="5"/>
  <c r="Y46" i="5"/>
  <c r="Y47" i="5"/>
  <c r="Y48" i="5"/>
  <c r="Y55" i="5"/>
  <c r="Y11" i="5"/>
  <c r="Y20" i="5"/>
  <c r="Y24" i="5"/>
  <c r="Y41" i="5"/>
  <c r="Y49" i="5"/>
  <c r="Y54" i="5"/>
  <c r="Y60" i="5"/>
  <c r="Y63" i="5"/>
  <c r="Y64" i="5"/>
  <c r="Y69" i="5"/>
  <c r="Y74" i="5"/>
  <c r="Y78" i="5"/>
  <c r="Y83" i="5"/>
  <c r="Y84" i="5"/>
  <c r="Y88" i="5"/>
  <c r="Y87" i="5"/>
  <c r="Y89" i="5"/>
  <c r="Y95" i="5"/>
  <c r="Y96" i="5"/>
  <c r="Y97" i="5"/>
  <c r="Y100" i="5"/>
  <c r="Y102" i="5"/>
  <c r="Y111" i="5"/>
  <c r="Y110" i="5"/>
  <c r="Y119" i="5"/>
  <c r="Y61" i="5"/>
  <c r="Y62" i="5"/>
  <c r="Y67" i="5"/>
  <c r="Y68" i="5"/>
  <c r="Y76" i="5"/>
  <c r="Y77" i="5"/>
  <c r="Y80" i="5"/>
  <c r="Y81" i="5"/>
  <c r="Y85" i="5"/>
  <c r="Y86" i="5"/>
  <c r="Y93" i="5"/>
  <c r="Y94" i="5"/>
  <c r="Y99" i="5"/>
  <c r="Y98" i="5"/>
  <c r="Y105" i="5"/>
  <c r="Y117" i="5"/>
  <c r="Y66" i="5"/>
  <c r="Y65" i="5"/>
  <c r="Y75" i="5"/>
  <c r="Y79" i="5"/>
  <c r="Y90" i="5"/>
  <c r="Y91" i="5"/>
  <c r="Y92" i="5"/>
  <c r="Y103" i="5"/>
  <c r="Y104" i="5"/>
  <c r="Y107" i="5"/>
  <c r="Y108" i="5"/>
  <c r="Y106" i="5"/>
  <c r="Y116" i="5"/>
  <c r="Y82" i="5"/>
  <c r="Y101" i="5"/>
  <c r="Y109" i="5"/>
  <c r="Y118" i="5"/>
  <c r="Y124" i="5"/>
  <c r="Y125" i="5"/>
  <c r="Y131" i="5"/>
  <c r="Y130" i="5"/>
  <c r="Y134" i="5"/>
  <c r="Y135" i="5"/>
  <c r="Y143" i="5"/>
  <c r="Y144" i="5"/>
  <c r="Y142" i="5"/>
  <c r="Y159" i="5"/>
  <c r="Y160" i="5"/>
  <c r="Y167" i="5"/>
  <c r="Y172" i="5"/>
  <c r="Y173" i="5"/>
  <c r="Y177" i="5"/>
  <c r="Y122" i="5"/>
  <c r="Y127" i="5"/>
  <c r="Y128" i="5"/>
  <c r="Y136" i="5"/>
  <c r="Y137" i="5"/>
  <c r="Y145" i="5"/>
  <c r="Y146" i="5"/>
  <c r="Y157" i="5"/>
  <c r="Y158" i="5"/>
  <c r="Y163" i="5"/>
  <c r="Y164" i="5"/>
  <c r="Y168" i="5"/>
  <c r="Y169" i="5"/>
  <c r="Y176" i="5"/>
  <c r="Y175" i="5"/>
  <c r="Y182" i="5"/>
  <c r="Y181" i="5"/>
  <c r="Y120" i="5"/>
  <c r="Y121" i="5"/>
  <c r="Y123" i="5"/>
  <c r="Y126" i="5"/>
  <c r="Y129" i="5"/>
  <c r="Y133" i="5"/>
  <c r="Y138" i="5"/>
  <c r="Y140" i="5"/>
  <c r="Y139" i="5"/>
  <c r="Y141" i="5"/>
  <c r="Y147" i="5"/>
  <c r="Y155" i="5"/>
  <c r="Y156" i="5"/>
  <c r="Y161" i="5"/>
  <c r="Y162" i="5"/>
  <c r="Y165" i="5"/>
  <c r="Y166" i="5"/>
  <c r="Y171" i="5"/>
  <c r="Y170" i="5"/>
  <c r="Y174" i="5"/>
  <c r="Y180" i="5"/>
  <c r="Y149" i="5"/>
  <c r="Y148" i="5"/>
  <c r="Y178" i="5"/>
  <c r="Y179" i="5"/>
  <c r="Y132" i="5"/>
  <c r="Y150" i="5"/>
  <c r="I150" i="5"/>
  <c r="J150" i="5" s="1"/>
  <c r="I132" i="5"/>
  <c r="J132" i="5" s="1"/>
  <c r="I148" i="5"/>
  <c r="J148" i="5" s="1"/>
  <c r="I180" i="5"/>
  <c r="J180" i="5" s="1"/>
  <c r="I174" i="5"/>
  <c r="J174" i="5" s="1"/>
  <c r="I170" i="5"/>
  <c r="J170" i="5" s="1"/>
  <c r="I171" i="5"/>
  <c r="J171" i="5" s="1"/>
  <c r="I166" i="5"/>
  <c r="J166" i="5" s="1"/>
  <c r="I165" i="5"/>
  <c r="J165" i="5" s="1"/>
  <c r="I162" i="5"/>
  <c r="J162" i="5" s="1"/>
  <c r="I161" i="5"/>
  <c r="J161" i="5" s="1"/>
  <c r="I156" i="5"/>
  <c r="J156" i="5" s="1"/>
  <c r="I155" i="5"/>
  <c r="J155" i="5" s="1"/>
  <c r="I147" i="5"/>
  <c r="J147" i="5" s="1"/>
  <c r="I141" i="5"/>
  <c r="J141" i="5" s="1"/>
  <c r="I139" i="5"/>
  <c r="J139" i="5" s="1"/>
  <c r="I140" i="5"/>
  <c r="J140" i="5" s="1"/>
  <c r="I138" i="5"/>
  <c r="J138" i="5" s="1"/>
  <c r="I133" i="5"/>
  <c r="J133" i="5" s="1"/>
  <c r="I129" i="5"/>
  <c r="J129" i="5" s="1"/>
  <c r="I126" i="5"/>
  <c r="J126" i="5" s="1"/>
  <c r="I123" i="5"/>
  <c r="J123" i="5" s="1"/>
  <c r="I121" i="5"/>
  <c r="J121" i="5" s="1"/>
  <c r="I120" i="5"/>
  <c r="J120" i="5" s="1"/>
  <c r="I181" i="5"/>
  <c r="J181" i="5" s="1"/>
  <c r="I182" i="5"/>
  <c r="J182" i="5" s="1"/>
  <c r="I175" i="5"/>
  <c r="J175" i="5" s="1"/>
  <c r="I176" i="5"/>
  <c r="J176" i="5" s="1"/>
  <c r="I169" i="5"/>
  <c r="J169" i="5" s="1"/>
  <c r="I168" i="5"/>
  <c r="J168" i="5" s="1"/>
  <c r="I164" i="5"/>
  <c r="J164" i="5" s="1"/>
  <c r="I163" i="5"/>
  <c r="J163" i="5" s="1"/>
  <c r="I158" i="5"/>
  <c r="J158" i="5" s="1"/>
  <c r="I157" i="5"/>
  <c r="J157" i="5" s="1"/>
  <c r="I146" i="5"/>
  <c r="J146" i="5" s="1"/>
  <c r="I145" i="5"/>
  <c r="J145" i="5" s="1"/>
  <c r="I137" i="5"/>
  <c r="J137" i="5" s="1"/>
  <c r="I136" i="5"/>
  <c r="J136" i="5" s="1"/>
  <c r="I128" i="5"/>
  <c r="J128" i="5" s="1"/>
  <c r="I127" i="5"/>
  <c r="J127" i="5" s="1"/>
  <c r="I122" i="5"/>
  <c r="J122" i="5" s="1"/>
  <c r="I177" i="5"/>
  <c r="J177" i="5" s="1"/>
  <c r="I173" i="5"/>
  <c r="J173" i="5" s="1"/>
  <c r="I172" i="5"/>
  <c r="J172" i="5" s="1"/>
  <c r="I167" i="5"/>
  <c r="J167" i="5" s="1"/>
  <c r="I160" i="5"/>
  <c r="J160" i="5" s="1"/>
  <c r="I159" i="5"/>
  <c r="J159" i="5" s="1"/>
  <c r="I142" i="5"/>
  <c r="J142" i="5" s="1"/>
  <c r="I144" i="5"/>
  <c r="J144" i="5" s="1"/>
  <c r="I143" i="5"/>
  <c r="J143" i="5" s="1"/>
  <c r="I135" i="5"/>
  <c r="J135" i="5" s="1"/>
  <c r="I134" i="5"/>
  <c r="J134" i="5" s="1"/>
  <c r="I130" i="5"/>
  <c r="J130" i="5" s="1"/>
  <c r="I131" i="5"/>
  <c r="J131" i="5" s="1"/>
  <c r="I125" i="5"/>
  <c r="J125" i="5" s="1"/>
  <c r="I124" i="5"/>
  <c r="J124" i="5" s="1"/>
  <c r="I118" i="5"/>
  <c r="J118" i="5" s="1"/>
  <c r="I109" i="5"/>
  <c r="J109" i="5" s="1"/>
  <c r="I101" i="5"/>
  <c r="J101" i="5" s="1"/>
  <c r="I82" i="5"/>
  <c r="J82" i="5" s="1"/>
  <c r="I116" i="5"/>
  <c r="J116" i="5" s="1"/>
  <c r="I106" i="5"/>
  <c r="J106" i="5" s="1"/>
  <c r="I108" i="5"/>
  <c r="J108" i="5" s="1"/>
  <c r="I107" i="5"/>
  <c r="J107" i="5" s="1"/>
  <c r="I104" i="5"/>
  <c r="J104" i="5" s="1"/>
  <c r="I103" i="5"/>
  <c r="J103" i="5" s="1"/>
  <c r="I92" i="5"/>
  <c r="J92" i="5" s="1"/>
  <c r="I91" i="5"/>
  <c r="J91" i="5" s="1"/>
  <c r="I90" i="5"/>
  <c r="J90" i="5" s="1"/>
  <c r="I79" i="5"/>
  <c r="J79" i="5" s="1"/>
  <c r="I75" i="5"/>
  <c r="J75" i="5" s="1"/>
  <c r="I65" i="5"/>
  <c r="J65" i="5" s="1"/>
  <c r="I66" i="5"/>
  <c r="J66" i="5" s="1"/>
  <c r="I117" i="5"/>
  <c r="J117" i="5" s="1"/>
  <c r="I105" i="5"/>
  <c r="J105" i="5" s="1"/>
  <c r="I98" i="5"/>
  <c r="J98" i="5" s="1"/>
  <c r="I99" i="5"/>
  <c r="J99" i="5" s="1"/>
  <c r="I94" i="5"/>
  <c r="J94" i="5" s="1"/>
  <c r="I93" i="5"/>
  <c r="J93" i="5" s="1"/>
  <c r="I86" i="5"/>
  <c r="J86" i="5" s="1"/>
  <c r="I85" i="5"/>
  <c r="J85" i="5" s="1"/>
  <c r="I81" i="5"/>
  <c r="J81" i="5" s="1"/>
  <c r="I80" i="5"/>
  <c r="J80" i="5" s="1"/>
  <c r="I77" i="5"/>
  <c r="J77" i="5" s="1"/>
  <c r="I76" i="5"/>
  <c r="J76" i="5" s="1"/>
  <c r="I68" i="5"/>
  <c r="J68" i="5" s="1"/>
  <c r="I67" i="5"/>
  <c r="J67" i="5" s="1"/>
  <c r="I62" i="5"/>
  <c r="J62" i="5" s="1"/>
  <c r="I61" i="5"/>
  <c r="J61" i="5" s="1"/>
  <c r="I119" i="5"/>
  <c r="J119" i="5" s="1"/>
  <c r="I110" i="5"/>
  <c r="J110" i="5" s="1"/>
  <c r="I111" i="5"/>
  <c r="J111" i="5" s="1"/>
  <c r="I102" i="5"/>
  <c r="J102" i="5" s="1"/>
  <c r="I100" i="5"/>
  <c r="J100" i="5" s="1"/>
  <c r="I97" i="5"/>
  <c r="J97" i="5" s="1"/>
  <c r="I96" i="5"/>
  <c r="J96" i="5" s="1"/>
  <c r="I95" i="5"/>
  <c r="J95" i="5" s="1"/>
  <c r="I89" i="5"/>
  <c r="J89" i="5" s="1"/>
  <c r="I87" i="5"/>
  <c r="J87" i="5" s="1"/>
  <c r="I88" i="5"/>
  <c r="J88" i="5" s="1"/>
  <c r="I84" i="5"/>
  <c r="J84" i="5" s="1"/>
  <c r="I83" i="5"/>
  <c r="J83" i="5" s="1"/>
  <c r="I78" i="5"/>
  <c r="J78" i="5" s="1"/>
  <c r="I74" i="5"/>
  <c r="J74" i="5" s="1"/>
  <c r="I69" i="5"/>
  <c r="J69" i="5" s="1"/>
  <c r="I64" i="5"/>
  <c r="J64" i="5" s="1"/>
  <c r="I63" i="5"/>
  <c r="J63" i="5" s="1"/>
  <c r="I60" i="5"/>
  <c r="J60" i="5" s="1"/>
  <c r="I54" i="5"/>
  <c r="J54" i="5" s="1"/>
  <c r="I49" i="5"/>
  <c r="J49" i="5" s="1"/>
  <c r="I41" i="5"/>
  <c r="J41" i="5" s="1"/>
  <c r="I24" i="5"/>
  <c r="J24" i="5" s="1"/>
  <c r="I20" i="5"/>
  <c r="J20" i="5" s="1"/>
  <c r="I11" i="5"/>
  <c r="J11" i="5" s="1"/>
  <c r="I55" i="5"/>
  <c r="J55" i="5" s="1"/>
  <c r="I48" i="5"/>
  <c r="J48" i="5" s="1"/>
  <c r="I47" i="5"/>
  <c r="J47" i="5" s="1"/>
  <c r="I46" i="5"/>
  <c r="J46" i="5" s="1"/>
  <c r="I37" i="5"/>
  <c r="J37" i="5" s="1"/>
  <c r="I36" i="5"/>
  <c r="J36" i="5" s="1"/>
  <c r="I34" i="5"/>
  <c r="J34" i="5" s="1"/>
  <c r="I19" i="5"/>
  <c r="J19" i="5" s="1"/>
  <c r="I16" i="5"/>
  <c r="J16" i="5" s="1"/>
  <c r="I5" i="5"/>
  <c r="J5" i="5" s="1"/>
  <c r="I3" i="5"/>
  <c r="J3" i="5" s="1"/>
  <c r="I4" i="5"/>
  <c r="J4" i="5" s="1"/>
  <c r="I59" i="5"/>
  <c r="J59" i="5" s="1"/>
  <c r="I58" i="5"/>
  <c r="J58" i="5" s="1"/>
  <c r="I53" i="5"/>
  <c r="J53" i="5" s="1"/>
  <c r="I50" i="5"/>
  <c r="J50" i="5" s="1"/>
  <c r="I45" i="5"/>
  <c r="J45" i="5" s="1"/>
  <c r="I42" i="5"/>
  <c r="J42" i="5" s="1"/>
  <c r="I40" i="5"/>
  <c r="J40" i="5" s="1"/>
  <c r="I35" i="5"/>
  <c r="J35" i="5" s="1"/>
  <c r="I26" i="5"/>
  <c r="J26" i="5" s="1"/>
  <c r="I27" i="5"/>
  <c r="J27" i="5" s="1"/>
  <c r="I25" i="5"/>
  <c r="J25" i="5" s="1"/>
  <c r="I21" i="5"/>
  <c r="J21" i="5" s="1"/>
  <c r="I15" i="5"/>
  <c r="J15" i="5" s="1"/>
  <c r="I12" i="5"/>
  <c r="J12" i="5" s="1"/>
  <c r="I9" i="5"/>
  <c r="J9" i="5" s="1"/>
  <c r="I10" i="5"/>
  <c r="J10" i="5" s="1"/>
  <c r="I8" i="5"/>
  <c r="J8" i="5" s="1"/>
  <c r="I57" i="5"/>
  <c r="J57" i="5" s="1"/>
  <c r="I56" i="5"/>
  <c r="J56" i="5" s="1"/>
  <c r="I51" i="5"/>
  <c r="J51" i="5" s="1"/>
  <c r="I52" i="5"/>
  <c r="J52" i="5" s="1"/>
  <c r="I44" i="5"/>
  <c r="J44" i="5" s="1"/>
  <c r="I43" i="5"/>
  <c r="J43" i="5" s="1"/>
  <c r="I39" i="5"/>
  <c r="J39" i="5" s="1"/>
  <c r="I38" i="5"/>
  <c r="J38" i="5" s="1"/>
  <c r="I29" i="5"/>
  <c r="J29" i="5" s="1"/>
  <c r="I28" i="5"/>
  <c r="J28" i="5" s="1"/>
  <c r="I22" i="5"/>
  <c r="J22" i="5" s="1"/>
  <c r="I23" i="5"/>
  <c r="J23" i="5" s="1"/>
  <c r="I18" i="5"/>
  <c r="J18" i="5" s="1"/>
  <c r="I17" i="5"/>
  <c r="J17" i="5" s="1"/>
  <c r="I13" i="5"/>
  <c r="J13" i="5" s="1"/>
  <c r="I14" i="5"/>
  <c r="J14" i="5" s="1"/>
  <c r="I7" i="5"/>
  <c r="J7" i="5" s="1"/>
  <c r="I6" i="5"/>
  <c r="J6" i="5" s="1"/>
  <c r="X7" i="5"/>
  <c r="X14" i="5"/>
  <c r="X13" i="5"/>
  <c r="X17" i="5"/>
  <c r="X18" i="5"/>
  <c r="X23" i="5"/>
  <c r="X22" i="5"/>
  <c r="X28" i="5"/>
  <c r="X29" i="5"/>
  <c r="X38" i="5"/>
  <c r="X39" i="5"/>
  <c r="X43" i="5"/>
  <c r="X44" i="5"/>
  <c r="X52" i="5"/>
  <c r="X51" i="5"/>
  <c r="X56" i="5"/>
  <c r="X57" i="5"/>
  <c r="X8" i="5"/>
  <c r="X10" i="5"/>
  <c r="X9" i="5"/>
  <c r="X12" i="5"/>
  <c r="X15" i="5"/>
  <c r="X21" i="5"/>
  <c r="X25" i="5"/>
  <c r="X27" i="5"/>
  <c r="X26" i="5"/>
  <c r="X35" i="5"/>
  <c r="X40" i="5"/>
  <c r="X42" i="5"/>
  <c r="X45" i="5"/>
  <c r="X50" i="5"/>
  <c r="X53" i="5"/>
  <c r="X58" i="5"/>
  <c r="X59" i="5"/>
  <c r="X4" i="5"/>
  <c r="X3" i="5"/>
  <c r="X5" i="5"/>
  <c r="X16" i="5"/>
  <c r="X19" i="5"/>
  <c r="X34" i="5"/>
  <c r="X36" i="5"/>
  <c r="X37" i="5"/>
  <c r="X46" i="5"/>
  <c r="X47" i="5"/>
  <c r="X48" i="5"/>
  <c r="X55" i="5"/>
  <c r="X11" i="5"/>
  <c r="X20" i="5"/>
  <c r="X24" i="5"/>
  <c r="X41" i="5"/>
  <c r="X49" i="5"/>
  <c r="X54" i="5"/>
  <c r="X60" i="5"/>
  <c r="X63" i="5"/>
  <c r="X64" i="5"/>
  <c r="X69" i="5"/>
  <c r="X74" i="5"/>
  <c r="X78" i="5"/>
  <c r="X83" i="5"/>
  <c r="X84" i="5"/>
  <c r="X88" i="5"/>
  <c r="X87" i="5"/>
  <c r="X89" i="5"/>
  <c r="X95" i="5"/>
  <c r="X96" i="5"/>
  <c r="X97" i="5"/>
  <c r="X100" i="5"/>
  <c r="X102" i="5"/>
  <c r="X111" i="5"/>
  <c r="X110" i="5"/>
  <c r="X119" i="5"/>
  <c r="X61" i="5"/>
  <c r="X62" i="5"/>
  <c r="X67" i="5"/>
  <c r="X68" i="5"/>
  <c r="X76" i="5"/>
  <c r="X77" i="5"/>
  <c r="X80" i="5"/>
  <c r="X81" i="5"/>
  <c r="X85" i="5"/>
  <c r="X86" i="5"/>
  <c r="X93" i="5"/>
  <c r="X94" i="5"/>
  <c r="X99" i="5"/>
  <c r="X98" i="5"/>
  <c r="X105" i="5"/>
  <c r="X117" i="5"/>
  <c r="X66" i="5"/>
  <c r="X65" i="5"/>
  <c r="X75" i="5"/>
  <c r="X79" i="5"/>
  <c r="X90" i="5"/>
  <c r="X91" i="5"/>
  <c r="X92" i="5"/>
  <c r="X103" i="5"/>
  <c r="X104" i="5"/>
  <c r="X107" i="5"/>
  <c r="X108" i="5"/>
  <c r="X106" i="5"/>
  <c r="X116" i="5"/>
  <c r="X82" i="5"/>
  <c r="X101" i="5"/>
  <c r="X109" i="5"/>
  <c r="X118" i="5"/>
  <c r="X124" i="5"/>
  <c r="X125" i="5"/>
  <c r="X131" i="5"/>
  <c r="X130" i="5"/>
  <c r="X134" i="5"/>
  <c r="X135" i="5"/>
  <c r="X143" i="5"/>
  <c r="X144" i="5"/>
  <c r="X142" i="5"/>
  <c r="X159" i="5"/>
  <c r="X160" i="5"/>
  <c r="X167" i="5"/>
  <c r="X172" i="5"/>
  <c r="X173" i="5"/>
  <c r="X177" i="5"/>
  <c r="X122" i="5"/>
  <c r="X127" i="5"/>
  <c r="X128" i="5"/>
  <c r="X136" i="5"/>
  <c r="X137" i="5"/>
  <c r="X145" i="5"/>
  <c r="X146" i="5"/>
  <c r="X157" i="5"/>
  <c r="X158" i="5"/>
  <c r="X163" i="5"/>
  <c r="X164" i="5"/>
  <c r="X168" i="5"/>
  <c r="X169" i="5"/>
  <c r="X176" i="5"/>
  <c r="X175" i="5"/>
  <c r="X182" i="5"/>
  <c r="X181" i="5"/>
  <c r="X120" i="5"/>
  <c r="X121" i="5"/>
  <c r="X123" i="5"/>
  <c r="X126" i="5"/>
  <c r="X129" i="5"/>
  <c r="X133" i="5"/>
  <c r="X138" i="5"/>
  <c r="X140" i="5"/>
  <c r="X139" i="5"/>
  <c r="X141" i="5"/>
  <c r="X147" i="5"/>
  <c r="X155" i="5"/>
  <c r="X156" i="5"/>
  <c r="X161" i="5"/>
  <c r="X162" i="5"/>
  <c r="X165" i="5"/>
  <c r="X166" i="5"/>
  <c r="X171" i="5"/>
  <c r="X170" i="5"/>
  <c r="X174" i="5"/>
  <c r="X180" i="5"/>
  <c r="X149" i="5"/>
  <c r="X148" i="5"/>
  <c r="X178" i="5"/>
  <c r="X179" i="5"/>
  <c r="X132" i="5"/>
  <c r="X150" i="5"/>
  <c r="X6" i="5" l="1"/>
  <c r="A6" i="18"/>
  <c r="A5" i="18"/>
  <c r="A4" i="18"/>
  <c r="A3" i="18"/>
  <c r="A2" i="18"/>
  <c r="K337" i="11"/>
  <c r="J337" i="11"/>
  <c r="I337" i="11"/>
  <c r="K194" i="11"/>
  <c r="J194" i="11"/>
  <c r="I194" i="11"/>
  <c r="K161" i="11"/>
  <c r="J161" i="11"/>
  <c r="I161" i="11"/>
  <c r="K189" i="11"/>
  <c r="J189" i="11"/>
  <c r="I189" i="11"/>
  <c r="K114" i="11"/>
  <c r="J114" i="11"/>
  <c r="I114" i="11"/>
  <c r="K119" i="11"/>
  <c r="J119" i="11"/>
  <c r="I119" i="11"/>
  <c r="K147" i="11"/>
  <c r="J147" i="11"/>
  <c r="I147" i="11"/>
  <c r="K428" i="11"/>
  <c r="J428" i="11"/>
  <c r="I428" i="11"/>
  <c r="K427" i="11"/>
  <c r="J427" i="11"/>
  <c r="I427" i="11"/>
  <c r="K26" i="11"/>
  <c r="J26" i="11"/>
  <c r="I26" i="11"/>
  <c r="K80" i="11"/>
  <c r="J80" i="11"/>
  <c r="I80" i="11"/>
  <c r="K79" i="11"/>
  <c r="J79" i="11"/>
  <c r="I79" i="11"/>
  <c r="K78" i="11"/>
  <c r="J78" i="11"/>
  <c r="I78" i="11"/>
  <c r="K25" i="11"/>
  <c r="J25" i="11"/>
  <c r="I25" i="11"/>
  <c r="K77" i="11"/>
  <c r="J77" i="11"/>
  <c r="I77" i="11"/>
  <c r="K76" i="11"/>
  <c r="J76" i="11"/>
  <c r="I76" i="11"/>
  <c r="K75" i="11"/>
  <c r="J75" i="11"/>
  <c r="I75" i="11"/>
  <c r="K74" i="11"/>
  <c r="J74" i="11"/>
  <c r="I74" i="11"/>
  <c r="K24" i="11"/>
  <c r="J24" i="11"/>
  <c r="I24" i="11"/>
  <c r="K324" i="11"/>
  <c r="J324" i="11"/>
  <c r="I324" i="11"/>
  <c r="K323" i="11"/>
  <c r="J323" i="11"/>
  <c r="I323" i="11"/>
  <c r="K322" i="11"/>
  <c r="J322" i="11"/>
  <c r="I322" i="11"/>
  <c r="K321" i="11"/>
  <c r="J321" i="11"/>
  <c r="I321" i="11"/>
  <c r="K73" i="11"/>
  <c r="J73" i="11"/>
  <c r="I73" i="11"/>
  <c r="K320" i="11"/>
  <c r="J320" i="11"/>
  <c r="I320" i="11"/>
  <c r="K319" i="11"/>
  <c r="J319" i="11"/>
  <c r="I319" i="11"/>
  <c r="K318" i="11"/>
  <c r="J318" i="11"/>
  <c r="I318" i="11"/>
  <c r="K317" i="11"/>
  <c r="J317" i="11"/>
  <c r="I317" i="11"/>
  <c r="K316" i="11"/>
  <c r="J316" i="11"/>
  <c r="I316" i="11"/>
  <c r="K329" i="11"/>
  <c r="J329" i="11"/>
  <c r="I329" i="11"/>
  <c r="K72" i="11"/>
  <c r="J72" i="11"/>
  <c r="I72" i="11"/>
  <c r="K315" i="11"/>
  <c r="J315" i="11"/>
  <c r="I315" i="11"/>
  <c r="K71" i="11"/>
  <c r="J71" i="11"/>
  <c r="I71" i="11"/>
  <c r="K314" i="11"/>
  <c r="J314" i="11"/>
  <c r="I314" i="11"/>
  <c r="K313" i="11"/>
  <c r="J313" i="11"/>
  <c r="I313" i="11"/>
  <c r="K23" i="11"/>
  <c r="J23" i="11"/>
  <c r="I23" i="11"/>
  <c r="K22" i="11"/>
  <c r="J22" i="11"/>
  <c r="I22" i="11"/>
  <c r="K70" i="11"/>
  <c r="J70" i="11"/>
  <c r="I70" i="11"/>
  <c r="K69" i="11"/>
  <c r="J69" i="11"/>
  <c r="I69" i="11"/>
  <c r="K68" i="11"/>
  <c r="J68" i="11"/>
  <c r="I68" i="11"/>
  <c r="K312" i="11"/>
  <c r="J312" i="11"/>
  <c r="I312" i="11"/>
  <c r="K311" i="11"/>
  <c r="J311" i="11"/>
  <c r="I311" i="11"/>
  <c r="K101" i="11"/>
  <c r="J101" i="11"/>
  <c r="I101" i="11"/>
  <c r="K426" i="11"/>
  <c r="J426" i="11"/>
  <c r="I426" i="11"/>
  <c r="K425" i="11"/>
  <c r="J425" i="11"/>
  <c r="I425" i="11"/>
  <c r="K310" i="11"/>
  <c r="J310" i="11"/>
  <c r="I310" i="11"/>
  <c r="K67" i="11"/>
  <c r="J67" i="11"/>
  <c r="I67" i="11"/>
  <c r="K424" i="11"/>
  <c r="J424" i="11"/>
  <c r="I424" i="11"/>
  <c r="K188" i="11"/>
  <c r="J188" i="11"/>
  <c r="I188" i="11"/>
  <c r="K66" i="11"/>
  <c r="J66" i="11"/>
  <c r="I66" i="11"/>
  <c r="K309" i="11"/>
  <c r="J309" i="11"/>
  <c r="I309" i="11"/>
  <c r="K336" i="11"/>
  <c r="J336" i="11"/>
  <c r="I336" i="11"/>
  <c r="K423" i="11"/>
  <c r="J423" i="11"/>
  <c r="I423" i="11"/>
  <c r="K21" i="11"/>
  <c r="J21" i="11"/>
  <c r="I21" i="11"/>
  <c r="K146" i="11"/>
  <c r="J146" i="11"/>
  <c r="I146" i="11"/>
  <c r="K308" i="11"/>
  <c r="J308" i="11"/>
  <c r="I308" i="11"/>
  <c r="K113" i="11"/>
  <c r="J113" i="11"/>
  <c r="I113" i="11"/>
  <c r="K422" i="11"/>
  <c r="J422" i="11"/>
  <c r="I422" i="11"/>
  <c r="K65" i="11"/>
  <c r="J65" i="11"/>
  <c r="I65" i="11"/>
  <c r="K64" i="11"/>
  <c r="J64" i="11"/>
  <c r="I64" i="11"/>
  <c r="K421" i="11"/>
  <c r="J421" i="11"/>
  <c r="I421" i="11"/>
  <c r="K420" i="11"/>
  <c r="J420" i="11"/>
  <c r="I420" i="11"/>
  <c r="K307" i="11"/>
  <c r="J307" i="11"/>
  <c r="I307" i="11"/>
  <c r="K160" i="11"/>
  <c r="J160" i="11"/>
  <c r="I160" i="11"/>
  <c r="K63" i="11"/>
  <c r="J63" i="11"/>
  <c r="I63" i="11"/>
  <c r="K419" i="11"/>
  <c r="J419" i="11"/>
  <c r="I419" i="11"/>
  <c r="K306" i="11"/>
  <c r="J306" i="11"/>
  <c r="I306" i="11"/>
  <c r="K187" i="11"/>
  <c r="J187" i="11"/>
  <c r="I187" i="11"/>
  <c r="K100" i="11"/>
  <c r="J100" i="11"/>
  <c r="I100" i="11"/>
  <c r="K335" i="11"/>
  <c r="J335" i="11"/>
  <c r="I335" i="11"/>
  <c r="K62" i="11"/>
  <c r="J62" i="11"/>
  <c r="I62" i="11"/>
  <c r="K20" i="11"/>
  <c r="J20" i="11"/>
  <c r="I20" i="11"/>
  <c r="K418" i="11"/>
  <c r="J418" i="11"/>
  <c r="I418" i="11"/>
  <c r="K305" i="11"/>
  <c r="J305" i="11"/>
  <c r="I305" i="11"/>
  <c r="K61" i="11"/>
  <c r="J61" i="11"/>
  <c r="I61" i="11"/>
  <c r="K60" i="11"/>
  <c r="J60" i="11"/>
  <c r="I60" i="11"/>
  <c r="K19" i="11"/>
  <c r="J19" i="11"/>
  <c r="I19" i="11"/>
  <c r="K304" i="11"/>
  <c r="J304" i="11"/>
  <c r="I304" i="11"/>
  <c r="K417" i="11"/>
  <c r="J417" i="11"/>
  <c r="I417" i="11"/>
  <c r="K303" i="11"/>
  <c r="J303" i="11"/>
  <c r="I303" i="11"/>
  <c r="K112" i="11"/>
  <c r="J112" i="11"/>
  <c r="I112" i="11"/>
  <c r="K302" i="11"/>
  <c r="J302" i="11"/>
  <c r="I302" i="11"/>
  <c r="K301" i="11"/>
  <c r="J301" i="11"/>
  <c r="I301" i="11"/>
  <c r="K300" i="11"/>
  <c r="J300" i="11"/>
  <c r="I300" i="11"/>
  <c r="K299" i="11"/>
  <c r="J299" i="11"/>
  <c r="I299" i="11"/>
  <c r="K416" i="11"/>
  <c r="J416" i="11"/>
  <c r="I416" i="11"/>
  <c r="K298" i="11"/>
  <c r="J298" i="11"/>
  <c r="I298" i="11"/>
  <c r="K297" i="11"/>
  <c r="J297" i="11"/>
  <c r="I297" i="11"/>
  <c r="K334" i="11"/>
  <c r="J334" i="11"/>
  <c r="I334" i="11"/>
  <c r="K83" i="11"/>
  <c r="J83" i="11"/>
  <c r="I83" i="11"/>
  <c r="K415" i="11"/>
  <c r="J415" i="11"/>
  <c r="I415" i="11"/>
  <c r="K414" i="11"/>
  <c r="J414" i="11"/>
  <c r="I414" i="11"/>
  <c r="K111" i="11"/>
  <c r="J111" i="11"/>
  <c r="I111" i="11"/>
  <c r="K186" i="11"/>
  <c r="J186" i="11"/>
  <c r="I186" i="11"/>
  <c r="K296" i="11"/>
  <c r="J296" i="11"/>
  <c r="I296" i="11"/>
  <c r="K333" i="11"/>
  <c r="J333" i="11"/>
  <c r="I333" i="11"/>
  <c r="K120" i="11"/>
  <c r="J120" i="11"/>
  <c r="I120" i="11"/>
  <c r="K295" i="11"/>
  <c r="J295" i="11"/>
  <c r="I295" i="11"/>
  <c r="K294" i="11"/>
  <c r="J294" i="11"/>
  <c r="I294" i="11"/>
  <c r="K293" i="11"/>
  <c r="J293" i="11"/>
  <c r="I293" i="11"/>
  <c r="K185" i="11"/>
  <c r="J185" i="11"/>
  <c r="I185" i="11"/>
  <c r="K184" i="11"/>
  <c r="J184" i="11"/>
  <c r="I184" i="11"/>
  <c r="K413" i="11"/>
  <c r="J413" i="11"/>
  <c r="I413" i="11"/>
  <c r="K328" i="11"/>
  <c r="J328" i="11"/>
  <c r="I328" i="11"/>
  <c r="K183" i="11"/>
  <c r="J183" i="11"/>
  <c r="I183" i="11"/>
  <c r="K18" i="11"/>
  <c r="J18" i="11"/>
  <c r="I18" i="11"/>
  <c r="K412" i="11"/>
  <c r="J412" i="11"/>
  <c r="I412" i="11"/>
  <c r="K115" i="11"/>
  <c r="J115" i="11"/>
  <c r="I115" i="11"/>
  <c r="K411" i="11"/>
  <c r="J411" i="11"/>
  <c r="I411" i="11"/>
  <c r="K410" i="11"/>
  <c r="J410" i="11"/>
  <c r="I410" i="11"/>
  <c r="K17" i="11"/>
  <c r="J17" i="11"/>
  <c r="I17" i="11"/>
  <c r="K148" i="11"/>
  <c r="J148" i="11"/>
  <c r="I148" i="11"/>
  <c r="K145" i="11"/>
  <c r="J145" i="11"/>
  <c r="I145" i="11"/>
  <c r="K292" i="11"/>
  <c r="J292" i="11"/>
  <c r="I292" i="11"/>
  <c r="K59" i="11"/>
  <c r="J59" i="11"/>
  <c r="I59" i="11"/>
  <c r="K291" i="11"/>
  <c r="J291" i="11"/>
  <c r="I291" i="11"/>
  <c r="K409" i="11"/>
  <c r="J409" i="11"/>
  <c r="I409" i="11"/>
  <c r="K408" i="11"/>
  <c r="J408" i="11"/>
  <c r="I408" i="11"/>
  <c r="K182" i="11"/>
  <c r="J182" i="11"/>
  <c r="I182" i="11"/>
  <c r="K16" i="11"/>
  <c r="J16" i="11"/>
  <c r="I16" i="11"/>
  <c r="K99" i="11"/>
  <c r="J99" i="11"/>
  <c r="I99" i="11"/>
  <c r="K15" i="11"/>
  <c r="J15" i="11"/>
  <c r="I15" i="11"/>
  <c r="K152" i="11"/>
  <c r="J152" i="11"/>
  <c r="I152" i="11"/>
  <c r="K58" i="11"/>
  <c r="J58" i="11"/>
  <c r="I58" i="11"/>
  <c r="K57" i="11"/>
  <c r="J57" i="11"/>
  <c r="I57" i="11"/>
  <c r="K98" i="11"/>
  <c r="J98" i="11"/>
  <c r="I98" i="11"/>
  <c r="K56" i="11"/>
  <c r="J56" i="11"/>
  <c r="I56" i="11"/>
  <c r="K332" i="11"/>
  <c r="J332" i="11"/>
  <c r="I332" i="11"/>
  <c r="K110" i="11"/>
  <c r="J110" i="11"/>
  <c r="I110" i="11"/>
  <c r="K55" i="11"/>
  <c r="J55" i="11"/>
  <c r="I55" i="11"/>
  <c r="K407" i="11"/>
  <c r="J407" i="11"/>
  <c r="I407" i="11"/>
  <c r="K290" i="11"/>
  <c r="J290" i="11"/>
  <c r="I290" i="11"/>
  <c r="K406" i="11"/>
  <c r="J406" i="11"/>
  <c r="I406" i="11"/>
  <c r="K14" i="11"/>
  <c r="J14" i="11"/>
  <c r="I14" i="11"/>
  <c r="K54" i="11"/>
  <c r="J54" i="11"/>
  <c r="I54" i="11"/>
  <c r="K289" i="11"/>
  <c r="J289" i="11"/>
  <c r="I289" i="11"/>
  <c r="K288" i="11"/>
  <c r="J288" i="11"/>
  <c r="I288" i="11"/>
  <c r="K287" i="11"/>
  <c r="J287" i="11"/>
  <c r="I287" i="11"/>
  <c r="K286" i="11"/>
  <c r="J286" i="11"/>
  <c r="I286" i="11"/>
  <c r="K285" i="11"/>
  <c r="J285" i="11"/>
  <c r="I285" i="11"/>
  <c r="K284" i="11"/>
  <c r="J284" i="11"/>
  <c r="I284" i="11"/>
  <c r="K283" i="11"/>
  <c r="J283" i="11"/>
  <c r="I283" i="11"/>
  <c r="K53" i="11"/>
  <c r="J53" i="11"/>
  <c r="I53" i="11"/>
  <c r="K52" i="11"/>
  <c r="J52" i="11"/>
  <c r="I52" i="11"/>
  <c r="K51" i="11"/>
  <c r="J51" i="11"/>
  <c r="I51" i="11"/>
  <c r="K50" i="11"/>
  <c r="J50" i="11"/>
  <c r="I50" i="11"/>
  <c r="K282" i="11"/>
  <c r="J282" i="11"/>
  <c r="I282" i="11"/>
  <c r="K49" i="11"/>
  <c r="J49" i="11"/>
  <c r="I49" i="11"/>
  <c r="K48" i="11"/>
  <c r="J48" i="11"/>
  <c r="I48" i="11"/>
  <c r="K47" i="11"/>
  <c r="J47" i="11"/>
  <c r="I47" i="11"/>
  <c r="K281" i="11"/>
  <c r="J281" i="11"/>
  <c r="I281" i="11"/>
  <c r="K280" i="11"/>
  <c r="J280" i="11"/>
  <c r="I280" i="11"/>
  <c r="K279" i="11"/>
  <c r="J279" i="11"/>
  <c r="I279" i="11"/>
  <c r="K278" i="11"/>
  <c r="J278" i="11"/>
  <c r="I278" i="11"/>
  <c r="K277" i="11"/>
  <c r="J277" i="11"/>
  <c r="I277" i="11"/>
  <c r="K276" i="11"/>
  <c r="J276" i="11"/>
  <c r="I276" i="11"/>
  <c r="K275" i="11"/>
  <c r="J275" i="11"/>
  <c r="I275" i="11"/>
  <c r="K274" i="11"/>
  <c r="J274" i="11"/>
  <c r="I274" i="11"/>
  <c r="K273" i="11"/>
  <c r="J273" i="11"/>
  <c r="I273" i="11"/>
  <c r="K46" i="11"/>
  <c r="J46" i="11"/>
  <c r="I46" i="11"/>
  <c r="K272" i="11"/>
  <c r="J272" i="11"/>
  <c r="I272" i="11"/>
  <c r="K45" i="11"/>
  <c r="J45" i="11"/>
  <c r="I45" i="11"/>
  <c r="K271" i="11"/>
  <c r="J271" i="11"/>
  <c r="I271" i="11"/>
  <c r="K44" i="11"/>
  <c r="J44" i="11"/>
  <c r="I44" i="11"/>
  <c r="K43" i="11"/>
  <c r="J43" i="11"/>
  <c r="I43" i="11"/>
  <c r="K270" i="11"/>
  <c r="J270" i="11"/>
  <c r="I270" i="11"/>
  <c r="K269" i="11"/>
  <c r="J269" i="11"/>
  <c r="I269" i="11"/>
  <c r="K268" i="11"/>
  <c r="J268" i="11"/>
  <c r="I268" i="11"/>
  <c r="K267" i="11"/>
  <c r="J267" i="11"/>
  <c r="I267" i="11"/>
  <c r="K439" i="11"/>
  <c r="J439" i="11"/>
  <c r="I439" i="11"/>
  <c r="K181" i="11"/>
  <c r="J181" i="11"/>
  <c r="I181" i="11"/>
  <c r="K180" i="11"/>
  <c r="J180" i="11"/>
  <c r="I180" i="11"/>
  <c r="K109" i="11"/>
  <c r="J109" i="11"/>
  <c r="I109" i="11"/>
  <c r="K42" i="11"/>
  <c r="J42" i="11"/>
  <c r="I42" i="11"/>
  <c r="K179" i="11"/>
  <c r="J179" i="11"/>
  <c r="I179" i="11"/>
  <c r="K405" i="11"/>
  <c r="J405" i="11"/>
  <c r="I405" i="11"/>
  <c r="K266" i="11"/>
  <c r="J266" i="11"/>
  <c r="I266" i="11"/>
  <c r="K97" i="11"/>
  <c r="J97" i="11"/>
  <c r="I97" i="11"/>
  <c r="K96" i="11"/>
  <c r="J96" i="11"/>
  <c r="I96" i="11"/>
  <c r="K435" i="11"/>
  <c r="J435" i="11"/>
  <c r="I435" i="11"/>
  <c r="K404" i="11"/>
  <c r="J404" i="11"/>
  <c r="I404" i="11"/>
  <c r="K122" i="11"/>
  <c r="J122" i="11"/>
  <c r="I122" i="11"/>
  <c r="K265" i="11"/>
  <c r="J265" i="11"/>
  <c r="I265" i="11"/>
  <c r="K403" i="11"/>
  <c r="J403" i="11"/>
  <c r="I403" i="11"/>
  <c r="K264" i="11"/>
  <c r="J264" i="11"/>
  <c r="I264" i="11"/>
  <c r="K402" i="11"/>
  <c r="J402" i="11"/>
  <c r="I402" i="11"/>
  <c r="K331" i="11"/>
  <c r="J331" i="11"/>
  <c r="I331" i="11"/>
  <c r="K144" i="11"/>
  <c r="J144" i="11"/>
  <c r="I144" i="11"/>
  <c r="K263" i="11"/>
  <c r="J263" i="11"/>
  <c r="I263" i="11"/>
  <c r="K262" i="11"/>
  <c r="J262" i="11"/>
  <c r="I262" i="11"/>
  <c r="K143" i="11"/>
  <c r="J143" i="11"/>
  <c r="I143" i="11"/>
  <c r="K13" i="11"/>
  <c r="J13" i="11"/>
  <c r="I13" i="11"/>
  <c r="K261" i="11"/>
  <c r="J261" i="11"/>
  <c r="I261" i="11"/>
  <c r="K260" i="11"/>
  <c r="J260" i="11"/>
  <c r="I260" i="11"/>
  <c r="K401" i="11"/>
  <c r="J401" i="11"/>
  <c r="I401" i="11"/>
  <c r="K33" i="11"/>
  <c r="J33" i="11"/>
  <c r="I33" i="11"/>
  <c r="K400" i="11"/>
  <c r="J400" i="11"/>
  <c r="I400" i="11"/>
  <c r="K142" i="11"/>
  <c r="J142" i="11"/>
  <c r="I142" i="11"/>
  <c r="K399" i="11"/>
  <c r="J399" i="11"/>
  <c r="I399" i="11"/>
  <c r="K398" i="11"/>
  <c r="J398" i="11"/>
  <c r="I398" i="11"/>
  <c r="K141" i="11"/>
  <c r="J141" i="11"/>
  <c r="I141" i="11"/>
  <c r="K397" i="11"/>
  <c r="J397" i="11"/>
  <c r="I397" i="11"/>
  <c r="K396" i="11"/>
  <c r="J396" i="11"/>
  <c r="I396" i="11"/>
  <c r="K140" i="11"/>
  <c r="J140" i="11"/>
  <c r="I140" i="11"/>
  <c r="K259" i="11"/>
  <c r="J259" i="11"/>
  <c r="I259" i="11"/>
  <c r="K438" i="11"/>
  <c r="J438" i="11"/>
  <c r="I438" i="11"/>
  <c r="K258" i="11"/>
  <c r="J258" i="11"/>
  <c r="I258" i="11"/>
  <c r="K12" i="11"/>
  <c r="J12" i="11"/>
  <c r="I12" i="11"/>
  <c r="K257" i="11"/>
  <c r="J257" i="11"/>
  <c r="I257" i="11"/>
  <c r="K395" i="11"/>
  <c r="J395" i="11"/>
  <c r="I395" i="11"/>
  <c r="K394" i="11"/>
  <c r="J394" i="11"/>
  <c r="I394" i="11"/>
  <c r="K154" i="11"/>
  <c r="J154" i="11"/>
  <c r="I154" i="11"/>
  <c r="K139" i="11"/>
  <c r="J139" i="11"/>
  <c r="I139" i="11"/>
  <c r="K11" i="11"/>
  <c r="J11" i="11"/>
  <c r="I11" i="11"/>
  <c r="K138" i="11"/>
  <c r="J138" i="11"/>
  <c r="I138" i="11"/>
  <c r="K137" i="11"/>
  <c r="J137" i="11"/>
  <c r="I137" i="11"/>
  <c r="K136" i="11"/>
  <c r="J136" i="11"/>
  <c r="I136" i="11"/>
  <c r="K135" i="11"/>
  <c r="J135" i="11"/>
  <c r="I135" i="11"/>
  <c r="K10" i="11"/>
  <c r="J10" i="11"/>
  <c r="I10" i="11"/>
  <c r="K393" i="11"/>
  <c r="J393" i="11"/>
  <c r="I393" i="11"/>
  <c r="K256" i="11"/>
  <c r="J256" i="11"/>
  <c r="I256" i="11"/>
  <c r="K134" i="11"/>
  <c r="J134" i="11"/>
  <c r="I134" i="11"/>
  <c r="K392" i="11"/>
  <c r="J392" i="11"/>
  <c r="I392" i="11"/>
  <c r="K391" i="11"/>
  <c r="J391" i="11"/>
  <c r="I391" i="11"/>
  <c r="K390" i="11"/>
  <c r="J390" i="11"/>
  <c r="I390" i="11"/>
  <c r="K389" i="11"/>
  <c r="J389" i="11"/>
  <c r="I389" i="11"/>
  <c r="K133" i="11"/>
  <c r="J133" i="11"/>
  <c r="I133" i="11"/>
  <c r="K95" i="11"/>
  <c r="J95" i="11"/>
  <c r="I95" i="11"/>
  <c r="K178" i="11"/>
  <c r="J178" i="11"/>
  <c r="I178" i="11"/>
  <c r="K255" i="11"/>
  <c r="J255" i="11"/>
  <c r="I255" i="11"/>
  <c r="K41" i="11"/>
  <c r="J41" i="11"/>
  <c r="I41" i="11"/>
  <c r="K388" i="11"/>
  <c r="J388" i="11"/>
  <c r="I388" i="11"/>
  <c r="K40" i="11"/>
  <c r="J40" i="11"/>
  <c r="I40" i="11"/>
  <c r="K387" i="11"/>
  <c r="J387" i="11"/>
  <c r="I387" i="11"/>
  <c r="K254" i="11"/>
  <c r="J254" i="11"/>
  <c r="I254" i="11"/>
  <c r="K253" i="11"/>
  <c r="J253" i="11"/>
  <c r="I253" i="11"/>
  <c r="K386" i="11"/>
  <c r="J386" i="11"/>
  <c r="I386" i="11"/>
  <c r="K385" i="11"/>
  <c r="J385" i="11"/>
  <c r="I385" i="11"/>
  <c r="K108" i="11"/>
  <c r="J108" i="11"/>
  <c r="I108" i="11"/>
  <c r="K159" i="11"/>
  <c r="J159" i="11"/>
  <c r="I159" i="11"/>
  <c r="K158" i="11"/>
  <c r="J158" i="11"/>
  <c r="I158" i="11"/>
  <c r="K27" i="11"/>
  <c r="J27" i="11"/>
  <c r="I27" i="11"/>
  <c r="K94" i="11"/>
  <c r="J94" i="11"/>
  <c r="I94" i="11"/>
  <c r="K252" i="11"/>
  <c r="J252" i="11"/>
  <c r="I252" i="11"/>
  <c r="K251" i="11"/>
  <c r="J251" i="11"/>
  <c r="I251" i="11"/>
  <c r="K384" i="11"/>
  <c r="J384" i="11"/>
  <c r="I384" i="11"/>
  <c r="K383" i="11"/>
  <c r="J383" i="11"/>
  <c r="I383" i="11"/>
  <c r="K382" i="11"/>
  <c r="J382" i="11"/>
  <c r="I382" i="11"/>
  <c r="K381" i="11"/>
  <c r="J381" i="11"/>
  <c r="I381" i="11"/>
  <c r="K192" i="11"/>
  <c r="J192" i="11"/>
  <c r="I192" i="11"/>
  <c r="K380" i="11"/>
  <c r="J380" i="11"/>
  <c r="I380" i="11"/>
  <c r="K434" i="11"/>
  <c r="J434" i="11"/>
  <c r="I434" i="11"/>
  <c r="K39" i="11"/>
  <c r="J39" i="11"/>
  <c r="I39" i="11"/>
  <c r="K250" i="11"/>
  <c r="J250" i="11"/>
  <c r="I250" i="11"/>
  <c r="K379" i="11"/>
  <c r="J379" i="11"/>
  <c r="I379" i="11"/>
  <c r="K132" i="11"/>
  <c r="J132" i="11"/>
  <c r="I132" i="11"/>
  <c r="K157" i="11"/>
  <c r="J157" i="11"/>
  <c r="I157" i="11"/>
  <c r="K378" i="11"/>
  <c r="J378" i="11"/>
  <c r="I378" i="11"/>
  <c r="K156" i="11"/>
  <c r="J156" i="11"/>
  <c r="I156" i="11"/>
  <c r="K177" i="11"/>
  <c r="J177" i="11"/>
  <c r="I177" i="11"/>
  <c r="K377" i="11"/>
  <c r="J377" i="11"/>
  <c r="I377" i="11"/>
  <c r="K249" i="11"/>
  <c r="J249" i="11"/>
  <c r="I249" i="11"/>
  <c r="K248" i="11"/>
  <c r="J248" i="11"/>
  <c r="I248" i="11"/>
  <c r="K376" i="11"/>
  <c r="J376" i="11"/>
  <c r="I376" i="11"/>
  <c r="K375" i="11"/>
  <c r="J375" i="11"/>
  <c r="I375" i="11"/>
  <c r="K176" i="11"/>
  <c r="J176" i="11"/>
  <c r="I176" i="11"/>
  <c r="K247" i="11"/>
  <c r="J247" i="11"/>
  <c r="I247" i="11"/>
  <c r="K374" i="11"/>
  <c r="J374" i="11"/>
  <c r="I374" i="11"/>
  <c r="K373" i="11"/>
  <c r="J373" i="11"/>
  <c r="I373" i="11"/>
  <c r="K93" i="11"/>
  <c r="J93" i="11"/>
  <c r="I93" i="11"/>
  <c r="K372" i="11"/>
  <c r="J372" i="11"/>
  <c r="I372" i="11"/>
  <c r="K131" i="11"/>
  <c r="J131" i="11"/>
  <c r="I131" i="11"/>
  <c r="K9" i="11"/>
  <c r="J9" i="11"/>
  <c r="I9" i="11"/>
  <c r="K191" i="11"/>
  <c r="J191" i="11"/>
  <c r="I191" i="11"/>
  <c r="K87" i="11"/>
  <c r="J87" i="11"/>
  <c r="I87" i="11"/>
  <c r="K86" i="11"/>
  <c r="J86" i="11"/>
  <c r="I86" i="11"/>
  <c r="K246" i="11"/>
  <c r="J246" i="11"/>
  <c r="I246" i="11"/>
  <c r="K84" i="11"/>
  <c r="J84" i="11"/>
  <c r="I84" i="11"/>
  <c r="K175" i="11"/>
  <c r="J175" i="11"/>
  <c r="I175" i="11"/>
  <c r="K371" i="11"/>
  <c r="J371" i="11"/>
  <c r="I371" i="11"/>
  <c r="K370" i="11"/>
  <c r="J370" i="11"/>
  <c r="I370" i="11"/>
  <c r="K245" i="11"/>
  <c r="J245" i="11"/>
  <c r="I245" i="11"/>
  <c r="K369" i="11"/>
  <c r="J369" i="11"/>
  <c r="I369" i="11"/>
  <c r="K130" i="11"/>
  <c r="J130" i="11"/>
  <c r="I130" i="11"/>
  <c r="K368" i="11"/>
  <c r="J368" i="11"/>
  <c r="I368" i="11"/>
  <c r="K107" i="11"/>
  <c r="J107" i="11"/>
  <c r="I107" i="11"/>
  <c r="K367" i="11"/>
  <c r="J367" i="11"/>
  <c r="I367" i="11"/>
  <c r="K174" i="11"/>
  <c r="J174" i="11"/>
  <c r="I174" i="11"/>
  <c r="K173" i="11"/>
  <c r="J173" i="11"/>
  <c r="I173" i="11"/>
  <c r="K38" i="11"/>
  <c r="J38" i="11"/>
  <c r="I38" i="11"/>
  <c r="K172" i="11"/>
  <c r="J172" i="11"/>
  <c r="I172" i="11"/>
  <c r="K171" i="11"/>
  <c r="J171" i="11"/>
  <c r="I171" i="11"/>
  <c r="K170" i="11"/>
  <c r="J170" i="11"/>
  <c r="I170" i="11"/>
  <c r="K118" i="11"/>
  <c r="J118" i="11"/>
  <c r="I118" i="11"/>
  <c r="K8" i="11"/>
  <c r="J8" i="11"/>
  <c r="I8" i="11"/>
  <c r="K366" i="11"/>
  <c r="J366" i="11"/>
  <c r="I366" i="11"/>
  <c r="K244" i="11"/>
  <c r="J244" i="11"/>
  <c r="I244" i="11"/>
  <c r="K365" i="11"/>
  <c r="J365" i="11"/>
  <c r="I365" i="11"/>
  <c r="K243" i="11"/>
  <c r="J243" i="11"/>
  <c r="I243" i="11"/>
  <c r="K242" i="11"/>
  <c r="J242" i="11"/>
  <c r="I242" i="11"/>
  <c r="K433" i="11"/>
  <c r="J433" i="11"/>
  <c r="I433" i="11"/>
  <c r="K241" i="11"/>
  <c r="J241" i="11"/>
  <c r="I241" i="11"/>
  <c r="K364" i="11"/>
  <c r="J364" i="11"/>
  <c r="I364" i="11"/>
  <c r="K193" i="11"/>
  <c r="J193" i="11"/>
  <c r="I193" i="11"/>
  <c r="K129" i="11"/>
  <c r="J129" i="11"/>
  <c r="I129" i="11"/>
  <c r="K437" i="11"/>
  <c r="J437" i="11"/>
  <c r="I437" i="11"/>
  <c r="K37" i="11"/>
  <c r="J37" i="11"/>
  <c r="I37" i="11"/>
  <c r="K240" i="11"/>
  <c r="J240" i="11"/>
  <c r="I240" i="11"/>
  <c r="K239" i="11"/>
  <c r="J239" i="11"/>
  <c r="I239" i="11"/>
  <c r="K106" i="11"/>
  <c r="J106" i="11"/>
  <c r="I106" i="11"/>
  <c r="K238" i="11"/>
  <c r="J238" i="11"/>
  <c r="I238" i="11"/>
  <c r="K169" i="11"/>
  <c r="J169" i="11"/>
  <c r="I169" i="11"/>
  <c r="K363" i="11"/>
  <c r="J363" i="11"/>
  <c r="I363" i="11"/>
  <c r="K85" i="11"/>
  <c r="J85" i="11"/>
  <c r="I85" i="11"/>
  <c r="K237" i="11"/>
  <c r="J237" i="11"/>
  <c r="I237" i="11"/>
  <c r="K236" i="11"/>
  <c r="J236" i="11"/>
  <c r="I236" i="11"/>
  <c r="K92" i="11"/>
  <c r="J92" i="11"/>
  <c r="I92" i="11"/>
  <c r="K235" i="11"/>
  <c r="J235" i="11"/>
  <c r="I235" i="11"/>
  <c r="K362" i="11"/>
  <c r="J362" i="11"/>
  <c r="I362" i="11"/>
  <c r="K32" i="11"/>
  <c r="J32" i="11"/>
  <c r="I32" i="11"/>
  <c r="K234" i="11"/>
  <c r="J234" i="11"/>
  <c r="I234" i="11"/>
  <c r="K233" i="11"/>
  <c r="J233" i="11"/>
  <c r="I233" i="11"/>
  <c r="K128" i="11"/>
  <c r="J128" i="11"/>
  <c r="I128" i="11"/>
  <c r="K232" i="11"/>
  <c r="J232" i="11"/>
  <c r="I232" i="11"/>
  <c r="K105" i="11"/>
  <c r="J105" i="11"/>
  <c r="I105" i="11"/>
  <c r="K231" i="11"/>
  <c r="J231" i="11"/>
  <c r="I231" i="11"/>
  <c r="K361" i="11"/>
  <c r="J361" i="11"/>
  <c r="I361" i="11"/>
  <c r="K153" i="11"/>
  <c r="J153" i="11"/>
  <c r="I153" i="11"/>
  <c r="K360" i="11"/>
  <c r="J360" i="11"/>
  <c r="I360" i="11"/>
  <c r="K230" i="11"/>
  <c r="J230" i="11"/>
  <c r="I230" i="11"/>
  <c r="K104" i="11"/>
  <c r="J104" i="11"/>
  <c r="I104" i="11"/>
  <c r="K151" i="11"/>
  <c r="J151" i="11"/>
  <c r="I151" i="11"/>
  <c r="K7" i="11"/>
  <c r="J7" i="11"/>
  <c r="I7" i="11"/>
  <c r="K229" i="11"/>
  <c r="J229" i="11"/>
  <c r="I229" i="11"/>
  <c r="K127" i="11"/>
  <c r="J127" i="11"/>
  <c r="I127" i="11"/>
  <c r="K103" i="11"/>
  <c r="J103" i="11"/>
  <c r="I103" i="11"/>
  <c r="K91" i="11"/>
  <c r="J91" i="11"/>
  <c r="I91" i="11"/>
  <c r="K150" i="11"/>
  <c r="J150" i="11"/>
  <c r="I150" i="11"/>
  <c r="K228" i="11"/>
  <c r="J228" i="11"/>
  <c r="I228" i="11"/>
  <c r="K227" i="11"/>
  <c r="J227" i="11"/>
  <c r="I227" i="11"/>
  <c r="K226" i="11"/>
  <c r="J226" i="11"/>
  <c r="I226" i="11"/>
  <c r="K225" i="11"/>
  <c r="J225" i="11"/>
  <c r="I225" i="11"/>
  <c r="K36" i="11"/>
  <c r="J36" i="11"/>
  <c r="I36" i="11"/>
  <c r="K168" i="11"/>
  <c r="J168" i="11"/>
  <c r="I168" i="11"/>
  <c r="K327" i="11"/>
  <c r="J327" i="11"/>
  <c r="I327" i="11"/>
  <c r="K224" i="11"/>
  <c r="J224" i="11"/>
  <c r="I224" i="11"/>
  <c r="K223" i="11"/>
  <c r="J223" i="11"/>
  <c r="I223" i="11"/>
  <c r="K126" i="11"/>
  <c r="J126" i="11"/>
  <c r="I126" i="11"/>
  <c r="K222" i="11"/>
  <c r="J222" i="11"/>
  <c r="I222" i="11"/>
  <c r="K432" i="11"/>
  <c r="J432" i="11"/>
  <c r="I432" i="11"/>
  <c r="K221" i="11"/>
  <c r="J221" i="11"/>
  <c r="I221" i="11"/>
  <c r="K436" i="11"/>
  <c r="J436" i="11"/>
  <c r="I436" i="11"/>
  <c r="K29" i="11"/>
  <c r="J29" i="11"/>
  <c r="I29" i="11"/>
  <c r="K359" i="11"/>
  <c r="J359" i="11"/>
  <c r="I359" i="11"/>
  <c r="K90" i="11"/>
  <c r="J90" i="11"/>
  <c r="I90" i="11"/>
  <c r="K358" i="11"/>
  <c r="J358" i="11"/>
  <c r="I358" i="11"/>
  <c r="K220" i="11"/>
  <c r="J220" i="11"/>
  <c r="I220" i="11"/>
  <c r="K357" i="11"/>
  <c r="J357" i="11"/>
  <c r="I357" i="11"/>
  <c r="K431" i="11"/>
  <c r="J431" i="11"/>
  <c r="I431" i="11"/>
  <c r="K356" i="11"/>
  <c r="J356" i="11"/>
  <c r="I356" i="11"/>
  <c r="K219" i="11"/>
  <c r="J219" i="11"/>
  <c r="I219" i="11"/>
  <c r="K218" i="11"/>
  <c r="J218" i="11"/>
  <c r="I218" i="11"/>
  <c r="K217" i="11"/>
  <c r="J217" i="11"/>
  <c r="I217" i="11"/>
  <c r="K355" i="11"/>
  <c r="J355" i="11"/>
  <c r="I355" i="11"/>
  <c r="K89" i="11"/>
  <c r="J89" i="11"/>
  <c r="I89" i="11"/>
  <c r="K216" i="11"/>
  <c r="J216" i="11"/>
  <c r="I216" i="11"/>
  <c r="K125" i="11"/>
  <c r="J125" i="11"/>
  <c r="I125" i="11"/>
  <c r="K215" i="11"/>
  <c r="J215" i="11"/>
  <c r="I215" i="11"/>
  <c r="K6" i="11"/>
  <c r="J6" i="11"/>
  <c r="I6" i="11"/>
  <c r="K354" i="11"/>
  <c r="J354" i="11"/>
  <c r="I354" i="11"/>
  <c r="K31" i="11"/>
  <c r="J31" i="11"/>
  <c r="I31" i="11"/>
  <c r="K124" i="11"/>
  <c r="J124" i="11"/>
  <c r="I124" i="11"/>
  <c r="K353" i="11"/>
  <c r="J353" i="11"/>
  <c r="I353" i="11"/>
  <c r="K352" i="11"/>
  <c r="J352" i="11"/>
  <c r="I352" i="11"/>
  <c r="K167" i="11"/>
  <c r="J167" i="11"/>
  <c r="I167" i="11"/>
  <c r="K5" i="11"/>
  <c r="J5" i="11"/>
  <c r="I5" i="11"/>
  <c r="K214" i="11"/>
  <c r="J214" i="11"/>
  <c r="I214" i="11"/>
  <c r="K155" i="11"/>
  <c r="J155" i="11"/>
  <c r="I155" i="11"/>
  <c r="K102" i="11"/>
  <c r="J102" i="11"/>
  <c r="I102" i="11"/>
  <c r="K351" i="11"/>
  <c r="J351" i="11"/>
  <c r="I351" i="11"/>
  <c r="K350" i="11"/>
  <c r="J350" i="11"/>
  <c r="I350" i="11"/>
  <c r="K190" i="11"/>
  <c r="J190" i="11"/>
  <c r="I190" i="11"/>
  <c r="K213" i="11"/>
  <c r="J213" i="11"/>
  <c r="I213" i="11"/>
  <c r="K121" i="11"/>
  <c r="J121" i="11"/>
  <c r="I121" i="11"/>
  <c r="K212" i="11"/>
  <c r="J212" i="11"/>
  <c r="I212" i="11"/>
  <c r="K349" i="11"/>
  <c r="J349" i="11"/>
  <c r="I349" i="11"/>
  <c r="K348" i="11"/>
  <c r="J348" i="11"/>
  <c r="I348" i="11"/>
  <c r="K4" i="11"/>
  <c r="J4" i="11"/>
  <c r="I4" i="11"/>
  <c r="K30" i="11"/>
  <c r="J30" i="11"/>
  <c r="I30" i="11"/>
  <c r="K330" i="11"/>
  <c r="J330" i="11"/>
  <c r="I330" i="11"/>
  <c r="K88" i="11"/>
  <c r="J88" i="11"/>
  <c r="I88" i="11"/>
  <c r="K347" i="11"/>
  <c r="J347" i="11"/>
  <c r="I347" i="11"/>
  <c r="K166" i="11"/>
  <c r="J166" i="11"/>
  <c r="I166" i="11"/>
  <c r="K3" i="11"/>
  <c r="J3" i="11"/>
  <c r="I3" i="11"/>
  <c r="K211" i="11"/>
  <c r="J211" i="11"/>
  <c r="I211" i="11"/>
  <c r="K210" i="11"/>
  <c r="J210" i="11"/>
  <c r="I210" i="11"/>
  <c r="K165" i="11"/>
  <c r="J165" i="11"/>
  <c r="I165" i="11"/>
  <c r="K35" i="11"/>
  <c r="J35" i="11"/>
  <c r="I35" i="11"/>
  <c r="K2" i="11"/>
  <c r="J2" i="11"/>
  <c r="I2" i="11"/>
  <c r="K346" i="11"/>
  <c r="J346" i="11"/>
  <c r="I346" i="11"/>
  <c r="K345" i="11"/>
  <c r="J345" i="11"/>
  <c r="I345" i="11"/>
  <c r="K344" i="11"/>
  <c r="J344" i="11"/>
  <c r="I344" i="11"/>
  <c r="K209" i="11"/>
  <c r="J209" i="11"/>
  <c r="I209" i="11"/>
  <c r="K208" i="11"/>
  <c r="J208" i="11"/>
  <c r="I208" i="11"/>
  <c r="K207" i="11"/>
  <c r="J207" i="11"/>
  <c r="I207" i="11"/>
  <c r="K117" i="11"/>
  <c r="J117" i="11"/>
  <c r="I117" i="11"/>
  <c r="K343" i="11"/>
  <c r="J343" i="11"/>
  <c r="I343" i="11"/>
  <c r="K164" i="11"/>
  <c r="J164" i="11"/>
  <c r="I164" i="11"/>
  <c r="K123" i="11"/>
  <c r="J123" i="11"/>
  <c r="I123" i="11"/>
  <c r="K206" i="11"/>
  <c r="J206" i="11"/>
  <c r="I206" i="11"/>
  <c r="K28" i="11"/>
  <c r="J28" i="11"/>
  <c r="I28" i="11"/>
  <c r="K430" i="11"/>
  <c r="J430" i="11"/>
  <c r="I430" i="11"/>
  <c r="K205" i="11"/>
  <c r="J205" i="11"/>
  <c r="I205" i="11"/>
  <c r="K204" i="11"/>
  <c r="J204" i="11"/>
  <c r="I204" i="11"/>
  <c r="K203" i="11"/>
  <c r="J203" i="11"/>
  <c r="I203" i="11"/>
  <c r="K202" i="11"/>
  <c r="J202" i="11"/>
  <c r="I202" i="11"/>
  <c r="K201" i="11"/>
  <c r="J201" i="11"/>
  <c r="I201" i="11"/>
  <c r="K200" i="11"/>
  <c r="J200" i="11"/>
  <c r="I200" i="11"/>
  <c r="K199" i="11"/>
  <c r="J199" i="11"/>
  <c r="I199" i="11"/>
  <c r="K198" i="11"/>
  <c r="J198" i="11"/>
  <c r="I198" i="11"/>
  <c r="K197" i="11"/>
  <c r="J197" i="11"/>
  <c r="I197" i="11"/>
  <c r="K196" i="11"/>
  <c r="J196" i="11"/>
  <c r="I196" i="11"/>
  <c r="K34" i="11"/>
  <c r="J34" i="11"/>
  <c r="I34" i="11"/>
  <c r="K342" i="11"/>
  <c r="J342" i="11"/>
  <c r="I342" i="11"/>
  <c r="K163" i="11"/>
  <c r="J163" i="11"/>
  <c r="I163" i="11"/>
  <c r="K149" i="11"/>
  <c r="J149" i="11"/>
  <c r="I149" i="11"/>
  <c r="K341" i="11"/>
  <c r="J341" i="11"/>
  <c r="I341" i="11"/>
  <c r="K326" i="11"/>
  <c r="J326" i="11"/>
  <c r="I326" i="11"/>
  <c r="K82" i="11"/>
  <c r="J82" i="11"/>
  <c r="I82" i="11"/>
  <c r="K81" i="11"/>
  <c r="J81" i="11"/>
  <c r="I81" i="11"/>
  <c r="K325" i="11"/>
  <c r="J325" i="11"/>
  <c r="I325" i="11"/>
  <c r="K162" i="11"/>
  <c r="J162" i="11"/>
  <c r="I162" i="11"/>
  <c r="K340" i="11"/>
  <c r="J340" i="11"/>
  <c r="I340" i="11"/>
  <c r="K339" i="11"/>
  <c r="J339" i="11"/>
  <c r="I339" i="11"/>
  <c r="K195" i="11"/>
  <c r="J195" i="11"/>
  <c r="I195" i="11"/>
  <c r="K116" i="11"/>
  <c r="J116" i="11"/>
  <c r="I116" i="11"/>
  <c r="K429" i="11"/>
  <c r="J429" i="11"/>
  <c r="I429" i="11"/>
  <c r="K338" i="11"/>
  <c r="J338" i="11"/>
  <c r="I338" i="1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3674C12-43B8-4F19-B060-F7601D4FB740}" keepAlive="1" name="Query - Byproduct/Service Names" description="Connection to the 'Byproduct/Service Names' query in the workbook." type="5" refreshedVersion="8" background="1" saveData="1">
    <dbPr connection="Provider=Microsoft.Mashup.OleDb.1;Data Source=$Workbook$;Location=&quot;Byproduct/Service Names&quot;;Extended Properties=&quot;&quot;" command="SELECT * FROM [Byproduct/Service Names]"/>
  </connection>
</connections>
</file>

<file path=xl/sharedStrings.xml><?xml version="1.0" encoding="utf-8"?>
<sst xmlns="http://schemas.openxmlformats.org/spreadsheetml/2006/main" count="11869" uniqueCount="3044">
  <si>
    <t>Waste Shipment Data</t>
  </si>
  <si>
    <t>Waste Stream Information</t>
  </si>
  <si>
    <t>Customer Site Data</t>
  </si>
  <si>
    <t>Receiving Facility Information</t>
  </si>
  <si>
    <t>Transporter</t>
  </si>
  <si>
    <t>MPS Cost</t>
  </si>
  <si>
    <t>Customer Cost</t>
  </si>
  <si>
    <t>Additional Information</t>
  </si>
  <si>
    <t>Byproduct / Service Name</t>
  </si>
  <si>
    <t>Container Location</t>
  </si>
  <si>
    <t>Date Shipped</t>
  </si>
  <si>
    <t>Manifest Number</t>
  </si>
  <si>
    <t>Return Manifest Date</t>
  </si>
  <si>
    <t>Unit</t>
  </si>
  <si>
    <t>Qty</t>
  </si>
  <si>
    <t>Weight in lbs per unit</t>
  </si>
  <si>
    <t>Standardized Volume in lbs</t>
  </si>
  <si>
    <t>Standardized Volume in kg</t>
  </si>
  <si>
    <t>Target Load Weight (lb)</t>
  </si>
  <si>
    <t>Waste Type</t>
  </si>
  <si>
    <t>Waste Codes</t>
  </si>
  <si>
    <t>Treatment Method</t>
  </si>
  <si>
    <t>Source Code</t>
  </si>
  <si>
    <t>Form Code</t>
  </si>
  <si>
    <t>Treatment Code</t>
  </si>
  <si>
    <t>EWC Number</t>
  </si>
  <si>
    <t>Container</t>
  </si>
  <si>
    <t>Service Frequency</t>
  </si>
  <si>
    <t>Profile Number</t>
  </si>
  <si>
    <t>Customer</t>
  </si>
  <si>
    <t>Site</t>
  </si>
  <si>
    <t>Site Address</t>
  </si>
  <si>
    <t>City</t>
  </si>
  <si>
    <t>State</t>
  </si>
  <si>
    <t>Zip Code</t>
  </si>
  <si>
    <t>Receiving Company</t>
  </si>
  <si>
    <t>Receiving Facility</t>
  </si>
  <si>
    <t>Miles from Facility</t>
  </si>
  <si>
    <t>Receiving Facility Address</t>
  </si>
  <si>
    <t>Receiving Facility  City</t>
  </si>
  <si>
    <t>Receiving Facility State</t>
  </si>
  <si>
    <t>Receiving Facility Zip</t>
  </si>
  <si>
    <t>Receiving Facility EPA ID #</t>
  </si>
  <si>
    <t>Haul Charge</t>
  </si>
  <si>
    <t>Disposal / Recycling Fee Each</t>
  </si>
  <si>
    <t>Disposal Fee Total</t>
  </si>
  <si>
    <t>Fuel Fee</t>
  </si>
  <si>
    <t>Environmental Fee</t>
  </si>
  <si>
    <t>Rebate</t>
  </si>
  <si>
    <t>Other Fees</t>
  </si>
  <si>
    <t>Customer Haul Charge</t>
  </si>
  <si>
    <t>Customer Disposal / Recycling Fee Each</t>
  </si>
  <si>
    <t>Customer Disposal Fee Total</t>
  </si>
  <si>
    <t>Customer Fuel Fee</t>
  </si>
  <si>
    <t>Customer Environmental Fee</t>
  </si>
  <si>
    <t>Customer Rebate</t>
  </si>
  <si>
    <t>Customer Other Fees</t>
  </si>
  <si>
    <t>Customer 1</t>
  </si>
  <si>
    <t>Customer 2</t>
  </si>
  <si>
    <t>Customer 3</t>
  </si>
  <si>
    <t>Notes</t>
  </si>
  <si>
    <t>Trash</t>
  </si>
  <si>
    <t>Dock 10</t>
  </si>
  <si>
    <t>N/A</t>
  </si>
  <si>
    <t>Ton</t>
  </si>
  <si>
    <t>Non Haz</t>
  </si>
  <si>
    <t>Landfill</t>
  </si>
  <si>
    <t>30CY Roll off</t>
  </si>
  <si>
    <t>On Call</t>
  </si>
  <si>
    <t>AO Smith</t>
  </si>
  <si>
    <t>Ashland City</t>
  </si>
  <si>
    <t>Waste Connections</t>
  </si>
  <si>
    <t>Cheatham County Disposal</t>
  </si>
  <si>
    <t>2791 Sams Creek Rd</t>
  </si>
  <si>
    <t>Pegram</t>
  </si>
  <si>
    <t>TN</t>
  </si>
  <si>
    <t>Trash Room</t>
  </si>
  <si>
    <t>42CY Compactor</t>
  </si>
  <si>
    <t>2x/week</t>
  </si>
  <si>
    <t>Filter Cake</t>
  </si>
  <si>
    <t>WWT</t>
  </si>
  <si>
    <t>Paint Filter</t>
  </si>
  <si>
    <t>Cardboard/ OCC</t>
  </si>
  <si>
    <t>Recycling</t>
  </si>
  <si>
    <t>Trailer</t>
  </si>
  <si>
    <t>Domtar</t>
  </si>
  <si>
    <t>Kingsport Packaging</t>
  </si>
  <si>
    <t>100 Clinchfield St</t>
  </si>
  <si>
    <t>Kingsport</t>
  </si>
  <si>
    <t>New Indy</t>
  </si>
  <si>
    <t>Ceramic Balls</t>
  </si>
  <si>
    <t>Drum Pad</t>
  </si>
  <si>
    <t>019928103FLE</t>
  </si>
  <si>
    <t>DM</t>
  </si>
  <si>
    <t>55gal Drum</t>
  </si>
  <si>
    <t>Safety Kleen</t>
  </si>
  <si>
    <t>215 Whitsett Rd</t>
  </si>
  <si>
    <t>Nashville</t>
  </si>
  <si>
    <t>TND981474125</t>
  </si>
  <si>
    <t>MEK</t>
  </si>
  <si>
    <t>Hazardous Waste</t>
  </si>
  <si>
    <t>D001, F005</t>
  </si>
  <si>
    <t>Incineration</t>
  </si>
  <si>
    <t>G06</t>
  </si>
  <si>
    <t>W209</t>
  </si>
  <si>
    <t>H040</t>
  </si>
  <si>
    <t>08 01 11*</t>
  </si>
  <si>
    <t>Paint and Solvent</t>
  </si>
  <si>
    <t>Paint Solids</t>
  </si>
  <si>
    <t>Total Transportation</t>
  </si>
  <si>
    <t>TRIUNE C&amp;D</t>
  </si>
  <si>
    <t>922 Lebanon Pike</t>
  </si>
  <si>
    <t>CYB</t>
  </si>
  <si>
    <t>Box Truck</t>
  </si>
  <si>
    <t>Paint Waste</t>
  </si>
  <si>
    <t>9358610SKS</t>
  </si>
  <si>
    <t>Drum</t>
  </si>
  <si>
    <t>Fuel Blending</t>
  </si>
  <si>
    <t>019928106FLE</t>
  </si>
  <si>
    <t>Empty Drum</t>
  </si>
  <si>
    <t>Report Name</t>
  </si>
  <si>
    <t>Report Type</t>
  </si>
  <si>
    <t>Waste Trends</t>
  </si>
  <si>
    <t>Charts and flashy stuff</t>
  </si>
  <si>
    <t>Cost Analysis</t>
  </si>
  <si>
    <t>Green House Gas Emission Report</t>
  </si>
  <si>
    <t>Light Load Report</t>
  </si>
  <si>
    <t>Biennial Hazardous Waste Report</t>
  </si>
  <si>
    <t>Data extract in a specific .csv format</t>
  </si>
  <si>
    <t>GEM Report (Ford waste report)</t>
  </si>
  <si>
    <t>GMR2 Report (GM Waste Report)</t>
  </si>
  <si>
    <t xml:space="preserve">Site </t>
  </si>
  <si>
    <t>Receiving State</t>
  </si>
  <si>
    <t>Source Codes</t>
  </si>
  <si>
    <t>Form Codes</t>
  </si>
  <si>
    <t>Treatment Codes</t>
  </si>
  <si>
    <t>EWC Code</t>
  </si>
  <si>
    <t>4ft Bulbs</t>
  </si>
  <si>
    <t>Alternative Reuse</t>
  </si>
  <si>
    <t>MSW Landfill</t>
  </si>
  <si>
    <t>2yd Front Load</t>
  </si>
  <si>
    <t>AL</t>
  </si>
  <si>
    <t>Republic Services</t>
  </si>
  <si>
    <t>A</t>
  </si>
  <si>
    <r>
      <t>Alabama:</t>
    </r>
    <r>
      <rPr>
        <sz val="11"/>
        <color theme="1"/>
        <rFont val="Aptos Narrow"/>
        <family val="2"/>
        <scheme val="minor"/>
      </rPr>
      <t xml:space="preserve"> AL</t>
    </r>
  </si>
  <si>
    <t>G01</t>
  </si>
  <si>
    <t>W001</t>
  </si>
  <si>
    <t>H010</t>
  </si>
  <si>
    <t>01 01 01</t>
  </si>
  <si>
    <t>8ft Bulbs</t>
  </si>
  <si>
    <t>C&amp;D</t>
  </si>
  <si>
    <t>1x Week</t>
  </si>
  <si>
    <t>AK</t>
  </si>
  <si>
    <t>Waste Management</t>
  </si>
  <si>
    <t>B</t>
  </si>
  <si>
    <r>
      <t>Alaska:</t>
    </r>
    <r>
      <rPr>
        <sz val="11"/>
        <color theme="1"/>
        <rFont val="Aptos Narrow"/>
        <family val="2"/>
        <scheme val="minor"/>
      </rPr>
      <t xml:space="preserve"> AK</t>
    </r>
  </si>
  <si>
    <t>G02</t>
  </si>
  <si>
    <t>W002</t>
  </si>
  <si>
    <t>H011</t>
  </si>
  <si>
    <t>01 01 02</t>
  </si>
  <si>
    <t>E-Waste</t>
  </si>
  <si>
    <t xml:space="preserve">WWTP </t>
  </si>
  <si>
    <t>2x Week</t>
  </si>
  <si>
    <t>AZ</t>
  </si>
  <si>
    <t>C</t>
  </si>
  <si>
    <r>
      <t>Arizona:</t>
    </r>
    <r>
      <rPr>
        <sz val="11"/>
        <color theme="1"/>
        <rFont val="Aptos Narrow"/>
        <family val="2"/>
        <scheme val="minor"/>
      </rPr>
      <t xml:space="preserve"> AZ</t>
    </r>
  </si>
  <si>
    <t>G03</t>
  </si>
  <si>
    <t>W004</t>
  </si>
  <si>
    <t>H015</t>
  </si>
  <si>
    <t>01 03 04*</t>
  </si>
  <si>
    <t>Confidential Document/Paper</t>
  </si>
  <si>
    <t>Fuel</t>
  </si>
  <si>
    <t>Pail</t>
  </si>
  <si>
    <t>3x Week</t>
  </si>
  <si>
    <t>AR</t>
  </si>
  <si>
    <t>Veolia</t>
  </si>
  <si>
    <t>D</t>
  </si>
  <si>
    <r>
      <t>Arkansas:</t>
    </r>
    <r>
      <rPr>
        <sz val="11"/>
        <color theme="1"/>
        <rFont val="Aptos Narrow"/>
        <family val="2"/>
        <scheme val="minor"/>
      </rPr>
      <t xml:space="preserve"> AR</t>
    </r>
  </si>
  <si>
    <t>G04</t>
  </si>
  <si>
    <t>W005</t>
  </si>
  <si>
    <t>H020</t>
  </si>
  <si>
    <t>01 03 05*</t>
  </si>
  <si>
    <t>Empty Containers IBC Tote</t>
  </si>
  <si>
    <t>Gas</t>
  </si>
  <si>
    <t>Reuse</t>
  </si>
  <si>
    <t>Lb</t>
  </si>
  <si>
    <t>4x Week</t>
  </si>
  <si>
    <t>CA</t>
  </si>
  <si>
    <t>Pratt</t>
  </si>
  <si>
    <t>E</t>
  </si>
  <si>
    <r>
      <t>California:</t>
    </r>
    <r>
      <rPr>
        <sz val="11"/>
        <color theme="1"/>
        <rFont val="Aptos Narrow"/>
        <family val="2"/>
        <scheme val="minor"/>
      </rPr>
      <t xml:space="preserve"> CA</t>
    </r>
  </si>
  <si>
    <t>G05</t>
  </si>
  <si>
    <t>W006</t>
  </si>
  <si>
    <t>H039</t>
  </si>
  <si>
    <t>01 03 06</t>
  </si>
  <si>
    <t>Empty Containers Plastic Drum</t>
  </si>
  <si>
    <t>HAZ Landfill</t>
  </si>
  <si>
    <t>Load</t>
  </si>
  <si>
    <t>35CY Self Contained Compactor</t>
  </si>
  <si>
    <t>5x Week</t>
  </si>
  <si>
    <t>CO</t>
  </si>
  <si>
    <r>
      <t>Colorado:</t>
    </r>
    <r>
      <rPr>
        <sz val="11"/>
        <color theme="1"/>
        <rFont val="Aptos Narrow"/>
        <family val="2"/>
        <scheme val="minor"/>
      </rPr>
      <t xml:space="preserve"> CO</t>
    </r>
  </si>
  <si>
    <t>Jim Hauling</t>
  </si>
  <si>
    <t>W301</t>
  </si>
  <si>
    <t>H050</t>
  </si>
  <si>
    <t>01 03 07*</t>
  </si>
  <si>
    <t>Empty Containers Steel Drum</t>
  </si>
  <si>
    <t xml:space="preserve">Liquid </t>
  </si>
  <si>
    <t>WTE</t>
  </si>
  <si>
    <t>Each</t>
  </si>
  <si>
    <t>Once a Month</t>
  </si>
  <si>
    <t>CT</t>
  </si>
  <si>
    <r>
      <t>Connecticut:</t>
    </r>
    <r>
      <rPr>
        <sz val="11"/>
        <color theme="1"/>
        <rFont val="Aptos Narrow"/>
        <family val="2"/>
        <scheme val="minor"/>
      </rPr>
      <t xml:space="preserve"> CT</t>
    </r>
  </si>
  <si>
    <t>G07</t>
  </si>
  <si>
    <t>W309</t>
  </si>
  <si>
    <t>H061</t>
  </si>
  <si>
    <t>01 03 08</t>
  </si>
  <si>
    <t>Ewaste</t>
  </si>
  <si>
    <t>Medical</t>
  </si>
  <si>
    <t>Gal</t>
  </si>
  <si>
    <t>Every 4 Weeks</t>
  </si>
  <si>
    <t>DE</t>
  </si>
  <si>
    <r>
      <t>Delaware:</t>
    </r>
    <r>
      <rPr>
        <sz val="11"/>
        <color theme="1"/>
        <rFont val="Aptos Narrow"/>
        <family val="2"/>
        <scheme val="minor"/>
      </rPr>
      <t xml:space="preserve"> DE</t>
    </r>
  </si>
  <si>
    <t>G08</t>
  </si>
  <si>
    <t>W310</t>
  </si>
  <si>
    <t>01 03 09</t>
  </si>
  <si>
    <t>Tote</t>
  </si>
  <si>
    <t>Vac Truck</t>
  </si>
  <si>
    <t>Other</t>
  </si>
  <si>
    <t>FL</t>
  </si>
  <si>
    <r>
      <t>Florida:</t>
    </r>
    <r>
      <rPr>
        <sz val="11"/>
        <color theme="1"/>
        <rFont val="Aptos Narrow"/>
        <family val="2"/>
        <scheme val="minor"/>
      </rPr>
      <t xml:space="preserve"> FL</t>
    </r>
  </si>
  <si>
    <t>G09</t>
  </si>
  <si>
    <t>W320</t>
  </si>
  <si>
    <t>H041</t>
  </si>
  <si>
    <t>01 03 10*</t>
  </si>
  <si>
    <t>Glass</t>
  </si>
  <si>
    <t>Tanker</t>
  </si>
  <si>
    <t>GA</t>
  </si>
  <si>
    <r>
      <t>Georgia:</t>
    </r>
    <r>
      <rPr>
        <sz val="11"/>
        <color theme="1"/>
        <rFont val="Aptos Narrow"/>
        <family val="2"/>
        <scheme val="minor"/>
      </rPr>
      <t xml:space="preserve"> GA</t>
    </r>
  </si>
  <si>
    <t>G11</t>
  </si>
  <si>
    <t>W512</t>
  </si>
  <si>
    <t>H042</t>
  </si>
  <si>
    <t>01 03 99</t>
  </si>
  <si>
    <t>Special Waste</t>
  </si>
  <si>
    <t>HI</t>
  </si>
  <si>
    <r>
      <t>Hawaii:</t>
    </r>
    <r>
      <rPr>
        <sz val="11"/>
        <color theme="1"/>
        <rFont val="Aptos Narrow"/>
        <family val="2"/>
        <scheme val="minor"/>
      </rPr>
      <t xml:space="preserve"> HI</t>
    </r>
  </si>
  <si>
    <t>G12</t>
  </si>
  <si>
    <t>W801</t>
  </si>
  <si>
    <t>H070</t>
  </si>
  <si>
    <t>01 04 07*</t>
  </si>
  <si>
    <t>Labor Admin</t>
  </si>
  <si>
    <t>Universal Waste</t>
  </si>
  <si>
    <t>30CY Roll Off</t>
  </si>
  <si>
    <t>ID</t>
  </si>
  <si>
    <r>
      <t>Idaho:</t>
    </r>
    <r>
      <rPr>
        <sz val="11"/>
        <color theme="1"/>
        <rFont val="Aptos Narrow"/>
        <family val="2"/>
        <scheme val="minor"/>
      </rPr>
      <t xml:space="preserve"> ID</t>
    </r>
  </si>
  <si>
    <t>G13</t>
  </si>
  <si>
    <t>W101</t>
  </si>
  <si>
    <t>H081</t>
  </si>
  <si>
    <t>01 04 08</t>
  </si>
  <si>
    <t>Labor Hourly</t>
  </si>
  <si>
    <t>IL</t>
  </si>
  <si>
    <r>
      <t>Illinois:</t>
    </r>
    <r>
      <rPr>
        <sz val="11"/>
        <color theme="1"/>
        <rFont val="Aptos Narrow"/>
        <family val="2"/>
        <scheme val="minor"/>
      </rPr>
      <t xml:space="preserve"> IL</t>
    </r>
  </si>
  <si>
    <t>G14</t>
  </si>
  <si>
    <t>W103</t>
  </si>
  <si>
    <t>H090</t>
  </si>
  <si>
    <t>01 04 09</t>
  </si>
  <si>
    <t>Labor Site Manager</t>
  </si>
  <si>
    <t>275gal Tote</t>
  </si>
  <si>
    <t>IN</t>
  </si>
  <si>
    <r>
      <t>Indiana:</t>
    </r>
    <r>
      <rPr>
        <sz val="11"/>
        <color theme="1"/>
        <rFont val="Aptos Narrow"/>
        <family val="2"/>
        <scheme val="minor"/>
      </rPr>
      <t xml:space="preserve"> IN</t>
    </r>
  </si>
  <si>
    <t>G15</t>
  </si>
  <si>
    <t>W105</t>
  </si>
  <si>
    <t>H100</t>
  </si>
  <si>
    <t>01 04 10</t>
  </si>
  <si>
    <t>Manifest Fee</t>
  </si>
  <si>
    <t>330 Gal Tote</t>
  </si>
  <si>
    <t>IA</t>
  </si>
  <si>
    <r>
      <t>Iowa:</t>
    </r>
    <r>
      <rPr>
        <sz val="11"/>
        <color theme="1"/>
        <rFont val="Aptos Narrow"/>
        <family val="2"/>
        <scheme val="minor"/>
      </rPr>
      <t xml:space="preserve"> IA</t>
    </r>
  </si>
  <si>
    <t>G16</t>
  </si>
  <si>
    <t>W107</t>
  </si>
  <si>
    <t>H110</t>
  </si>
  <si>
    <t>01 04 11</t>
  </si>
  <si>
    <t>KS</t>
  </si>
  <si>
    <r>
      <t>Kansas:</t>
    </r>
    <r>
      <rPr>
        <sz val="11"/>
        <color theme="1"/>
        <rFont val="Aptos Narrow"/>
        <family val="2"/>
        <scheme val="minor"/>
      </rPr>
      <t xml:space="preserve"> KS</t>
    </r>
  </si>
  <si>
    <t>G17</t>
  </si>
  <si>
    <t>W110</t>
  </si>
  <si>
    <t>H113</t>
  </si>
  <si>
    <t>01 04 12</t>
  </si>
  <si>
    <t>Mixed Metal</t>
  </si>
  <si>
    <t>KY</t>
  </si>
  <si>
    <r>
      <t>Kentucky:</t>
    </r>
    <r>
      <rPr>
        <sz val="11"/>
        <color theme="1"/>
        <rFont val="Aptos Narrow"/>
        <family val="2"/>
        <scheme val="minor"/>
      </rPr>
      <t xml:space="preserve"> KY</t>
    </r>
  </si>
  <si>
    <t>G19</t>
  </si>
  <si>
    <t>W113</t>
  </si>
  <si>
    <t>H120</t>
  </si>
  <si>
    <t>01 04 13</t>
  </si>
  <si>
    <t>Mixed Recycling</t>
  </si>
  <si>
    <t>LA</t>
  </si>
  <si>
    <r>
      <t>Louisiana:</t>
    </r>
    <r>
      <rPr>
        <sz val="11"/>
        <color theme="1"/>
        <rFont val="Aptos Narrow"/>
        <family val="2"/>
        <scheme val="minor"/>
      </rPr>
      <t xml:space="preserve"> LA</t>
    </r>
  </si>
  <si>
    <t>G21</t>
  </si>
  <si>
    <t>W117</t>
  </si>
  <si>
    <t>H121</t>
  </si>
  <si>
    <t>01 04 99</t>
  </si>
  <si>
    <t>Organics/Yard Waste</t>
  </si>
  <si>
    <t>ME</t>
  </si>
  <si>
    <r>
      <t>Maine:</t>
    </r>
    <r>
      <rPr>
        <sz val="11"/>
        <color theme="1"/>
        <rFont val="Aptos Narrow"/>
        <family val="2"/>
        <scheme val="minor"/>
      </rPr>
      <t xml:space="preserve"> ME</t>
    </r>
  </si>
  <si>
    <t>G22</t>
  </si>
  <si>
    <t>W119</t>
  </si>
  <si>
    <t>H122</t>
  </si>
  <si>
    <t>01 05 04</t>
  </si>
  <si>
    <t>Other Bulbs</t>
  </si>
  <si>
    <t>MD</t>
  </si>
  <si>
    <r>
      <t>Maryland:</t>
    </r>
    <r>
      <rPr>
        <sz val="11"/>
        <color theme="1"/>
        <rFont val="Aptos Narrow"/>
        <family val="2"/>
        <scheme val="minor"/>
      </rPr>
      <t xml:space="preserve"> MD</t>
    </r>
  </si>
  <si>
    <t>G23</t>
  </si>
  <si>
    <t>W200</t>
  </si>
  <si>
    <t>H129</t>
  </si>
  <si>
    <t>01 05 05*</t>
  </si>
  <si>
    <t>Pallets</t>
  </si>
  <si>
    <t>MA</t>
  </si>
  <si>
    <r>
      <t>Massachusetts:</t>
    </r>
    <r>
      <rPr>
        <sz val="11"/>
        <color theme="1"/>
        <rFont val="Aptos Narrow"/>
        <family val="2"/>
        <scheme val="minor"/>
      </rPr>
      <t xml:space="preserve"> MA</t>
    </r>
  </si>
  <si>
    <t>G24</t>
  </si>
  <si>
    <t>W202</t>
  </si>
  <si>
    <t>H130</t>
  </si>
  <si>
    <t>01 05 06*</t>
  </si>
  <si>
    <t>Plastic</t>
  </si>
  <si>
    <t>MI</t>
  </si>
  <si>
    <r>
      <t>Michigan:</t>
    </r>
    <r>
      <rPr>
        <sz val="11"/>
        <color theme="1"/>
        <rFont val="Aptos Narrow"/>
        <family val="2"/>
        <scheme val="minor"/>
      </rPr>
      <t xml:space="preserve"> MI</t>
    </r>
  </si>
  <si>
    <t>G25</t>
  </si>
  <si>
    <t>W203</t>
  </si>
  <si>
    <t>H131</t>
  </si>
  <si>
    <t>01 05 07</t>
  </si>
  <si>
    <t>Sludge</t>
  </si>
  <si>
    <t>MN</t>
  </si>
  <si>
    <r>
      <t>Minnesota:</t>
    </r>
    <r>
      <rPr>
        <sz val="11"/>
        <color theme="1"/>
        <rFont val="Aptos Narrow"/>
        <family val="2"/>
        <scheme val="minor"/>
      </rPr>
      <t xml:space="preserve"> MN</t>
    </r>
  </si>
  <si>
    <t>G26</t>
  </si>
  <si>
    <t>W204</t>
  </si>
  <si>
    <t>H132</t>
  </si>
  <si>
    <t>01 05 08</t>
  </si>
  <si>
    <t>MS</t>
  </si>
  <si>
    <r>
      <t>Mississippi:</t>
    </r>
    <r>
      <rPr>
        <sz val="11"/>
        <color theme="1"/>
        <rFont val="Aptos Narrow"/>
        <family val="2"/>
        <scheme val="minor"/>
      </rPr>
      <t xml:space="preserve"> MS</t>
    </r>
  </si>
  <si>
    <t>G27</t>
  </si>
  <si>
    <t>W205</t>
  </si>
  <si>
    <t>H134</t>
  </si>
  <si>
    <t>01 05 99</t>
  </si>
  <si>
    <t>Wood</t>
  </si>
  <si>
    <t>MO</t>
  </si>
  <si>
    <r>
      <t>Missouri:</t>
    </r>
    <r>
      <rPr>
        <sz val="11"/>
        <color theme="1"/>
        <rFont val="Aptos Narrow"/>
        <family val="2"/>
        <scheme val="minor"/>
      </rPr>
      <t xml:space="preserve"> MO</t>
    </r>
  </si>
  <si>
    <t>G31</t>
  </si>
  <si>
    <t>W206</t>
  </si>
  <si>
    <t>H136</t>
  </si>
  <si>
    <t>02 01 01</t>
  </si>
  <si>
    <t>MT</t>
  </si>
  <si>
    <r>
      <t>Montana:</t>
    </r>
    <r>
      <rPr>
        <sz val="11"/>
        <color theme="1"/>
        <rFont val="Aptos Narrow"/>
        <family val="2"/>
        <scheme val="minor"/>
      </rPr>
      <t xml:space="preserve"> MT</t>
    </r>
  </si>
  <si>
    <t>G32</t>
  </si>
  <si>
    <t>H137</t>
  </si>
  <si>
    <t>02 01 02</t>
  </si>
  <si>
    <t>NE</t>
  </si>
  <si>
    <r>
      <t>Nebraska:</t>
    </r>
    <r>
      <rPr>
        <sz val="11"/>
        <color theme="1"/>
        <rFont val="Aptos Narrow"/>
        <family val="2"/>
        <scheme val="minor"/>
      </rPr>
      <t xml:space="preserve"> NE</t>
    </r>
  </si>
  <si>
    <t>G33</t>
  </si>
  <si>
    <t>W210</t>
  </si>
  <si>
    <t>H141</t>
  </si>
  <si>
    <t>02 01 03</t>
  </si>
  <si>
    <t>Empty Drums</t>
  </si>
  <si>
    <t>NV</t>
  </si>
  <si>
    <r>
      <t>Nevada:</t>
    </r>
    <r>
      <rPr>
        <sz val="11"/>
        <color theme="1"/>
        <rFont val="Aptos Narrow"/>
        <family val="2"/>
        <scheme val="minor"/>
      </rPr>
      <t xml:space="preserve"> NV</t>
    </r>
  </si>
  <si>
    <t>G39</t>
  </si>
  <si>
    <t>W211</t>
  </si>
  <si>
    <t>02 01 04</t>
  </si>
  <si>
    <t>NH</t>
  </si>
  <si>
    <r>
      <t>New Hampshire:</t>
    </r>
    <r>
      <rPr>
        <sz val="11"/>
        <color theme="1"/>
        <rFont val="Aptos Narrow"/>
        <family val="2"/>
        <scheme val="minor"/>
      </rPr>
      <t xml:space="preserve"> NH</t>
    </r>
  </si>
  <si>
    <t>G41</t>
  </si>
  <si>
    <t>W219</t>
  </si>
  <si>
    <t>02 01 06</t>
  </si>
  <si>
    <t>NJ</t>
  </si>
  <si>
    <r>
      <t>New Jersey:</t>
    </r>
    <r>
      <rPr>
        <sz val="11"/>
        <color theme="1"/>
        <rFont val="Aptos Narrow"/>
        <family val="2"/>
        <scheme val="minor"/>
      </rPr>
      <t xml:space="preserve"> NJ</t>
    </r>
  </si>
  <si>
    <t>G42</t>
  </si>
  <si>
    <t>W303</t>
  </si>
  <si>
    <t>02 01 07</t>
  </si>
  <si>
    <t>NM</t>
  </si>
  <si>
    <r>
      <t>New Mexico:</t>
    </r>
    <r>
      <rPr>
        <sz val="11"/>
        <color theme="1"/>
        <rFont val="Aptos Narrow"/>
        <family val="2"/>
        <scheme val="minor"/>
      </rPr>
      <t xml:space="preserve"> NM</t>
    </r>
  </si>
  <si>
    <t>G43</t>
  </si>
  <si>
    <t>W304</t>
  </si>
  <si>
    <t>02 01 08*</t>
  </si>
  <si>
    <t>NY</t>
  </si>
  <si>
    <r>
      <t>New York:</t>
    </r>
    <r>
      <rPr>
        <sz val="11"/>
        <color theme="1"/>
        <rFont val="Aptos Narrow"/>
        <family val="2"/>
        <scheme val="minor"/>
      </rPr>
      <t xml:space="preserve"> NY</t>
    </r>
  </si>
  <si>
    <t>G44</t>
  </si>
  <si>
    <t>W307</t>
  </si>
  <si>
    <t>02 01 09</t>
  </si>
  <si>
    <t>NC</t>
  </si>
  <si>
    <r>
      <t>North Carolina:</t>
    </r>
    <r>
      <rPr>
        <sz val="11"/>
        <color theme="1"/>
        <rFont val="Aptos Narrow"/>
        <family val="2"/>
        <scheme val="minor"/>
      </rPr>
      <t xml:space="preserve"> NC</t>
    </r>
  </si>
  <si>
    <t>G45</t>
  </si>
  <si>
    <t>W312</t>
  </si>
  <si>
    <t>02 01 10</t>
  </si>
  <si>
    <t>ND</t>
  </si>
  <si>
    <r>
      <t>North Dakota:</t>
    </r>
    <r>
      <rPr>
        <sz val="11"/>
        <color theme="1"/>
        <rFont val="Aptos Narrow"/>
        <family val="2"/>
        <scheme val="minor"/>
      </rPr>
      <t xml:space="preserve"> ND</t>
    </r>
  </si>
  <si>
    <t>G49</t>
  </si>
  <si>
    <t>W316</t>
  </si>
  <si>
    <t>02 01 99</t>
  </si>
  <si>
    <t>OH</t>
  </si>
  <si>
    <r>
      <t>Ohio:</t>
    </r>
    <r>
      <rPr>
        <sz val="11"/>
        <color theme="1"/>
        <rFont val="Aptos Narrow"/>
        <family val="2"/>
        <scheme val="minor"/>
      </rPr>
      <t xml:space="preserve"> OH</t>
    </r>
  </si>
  <si>
    <t>G51</t>
  </si>
  <si>
    <t>W319</t>
  </si>
  <si>
    <t>02 02 01</t>
  </si>
  <si>
    <t>OK</t>
  </si>
  <si>
    <r>
      <t>Oklahoma:</t>
    </r>
    <r>
      <rPr>
        <sz val="11"/>
        <color theme="1"/>
        <rFont val="Aptos Narrow"/>
        <family val="2"/>
        <scheme val="minor"/>
      </rPr>
      <t xml:space="preserve"> OK</t>
    </r>
  </si>
  <si>
    <t>G61</t>
  </si>
  <si>
    <t>W401</t>
  </si>
  <si>
    <t>02 02 02</t>
  </si>
  <si>
    <t>OR</t>
  </si>
  <si>
    <r>
      <t>Oregon:</t>
    </r>
    <r>
      <rPr>
        <sz val="11"/>
        <color theme="1"/>
        <rFont val="Aptos Narrow"/>
        <family val="2"/>
        <scheme val="minor"/>
      </rPr>
      <t xml:space="preserve"> OR</t>
    </r>
  </si>
  <si>
    <t>G62</t>
  </si>
  <si>
    <t>W403</t>
  </si>
  <si>
    <t>02 02 03</t>
  </si>
  <si>
    <t>PA</t>
  </si>
  <si>
    <r>
      <t>Pennsylvania:</t>
    </r>
    <r>
      <rPr>
        <sz val="11"/>
        <color theme="1"/>
        <rFont val="Aptos Narrow"/>
        <family val="2"/>
        <scheme val="minor"/>
      </rPr>
      <t xml:space="preserve"> PA</t>
    </r>
  </si>
  <si>
    <t>G76</t>
  </si>
  <si>
    <t>W405</t>
  </si>
  <si>
    <t>02 02 04</t>
  </si>
  <si>
    <t>RI</t>
  </si>
  <si>
    <r>
      <t>Rhode Island:</t>
    </r>
    <r>
      <rPr>
        <sz val="11"/>
        <color theme="1"/>
        <rFont val="Aptos Narrow"/>
        <family val="2"/>
        <scheme val="minor"/>
      </rPr>
      <t xml:space="preserve"> RI</t>
    </r>
  </si>
  <si>
    <t>G77</t>
  </si>
  <si>
    <t>W406</t>
  </si>
  <si>
    <t>02 02 99</t>
  </si>
  <si>
    <t>SC</t>
  </si>
  <si>
    <r>
      <t>South Carolina:</t>
    </r>
    <r>
      <rPr>
        <sz val="11"/>
        <color theme="1"/>
        <rFont val="Aptos Narrow"/>
        <family val="2"/>
        <scheme val="minor"/>
      </rPr>
      <t xml:space="preserve"> SC</t>
    </r>
  </si>
  <si>
    <t>G63</t>
  </si>
  <si>
    <t>W409</t>
  </si>
  <si>
    <t>02 03 01</t>
  </si>
  <si>
    <t>SD</t>
  </si>
  <si>
    <r>
      <t>South Dakota:</t>
    </r>
    <r>
      <rPr>
        <sz val="11"/>
        <color theme="1"/>
        <rFont val="Aptos Narrow"/>
        <family val="2"/>
        <scheme val="minor"/>
      </rPr>
      <t xml:space="preserve"> SD</t>
    </r>
  </si>
  <si>
    <t>G64</t>
  </si>
  <si>
    <t>W501</t>
  </si>
  <si>
    <t>02 03 02</t>
  </si>
  <si>
    <r>
      <t>Tennessee:</t>
    </r>
    <r>
      <rPr>
        <sz val="11"/>
        <color theme="1"/>
        <rFont val="Aptos Narrow"/>
        <family val="2"/>
        <scheme val="minor"/>
      </rPr>
      <t xml:space="preserve"> TN</t>
    </r>
  </si>
  <si>
    <t>G65</t>
  </si>
  <si>
    <t>W503</t>
  </si>
  <si>
    <t>02 03 03</t>
  </si>
  <si>
    <t>TX</t>
  </si>
  <si>
    <r>
      <t>Texas:</t>
    </r>
    <r>
      <rPr>
        <sz val="11"/>
        <color theme="1"/>
        <rFont val="Aptos Narrow"/>
        <family val="2"/>
        <scheme val="minor"/>
      </rPr>
      <t xml:space="preserve"> TX</t>
    </r>
  </si>
  <si>
    <t>G66</t>
  </si>
  <si>
    <t>W504</t>
  </si>
  <si>
    <t>02 03 04</t>
  </si>
  <si>
    <t>UT</t>
  </si>
  <si>
    <r>
      <t>Utah:</t>
    </r>
    <r>
      <rPr>
        <sz val="11"/>
        <color theme="1"/>
        <rFont val="Aptos Narrow"/>
        <family val="2"/>
        <scheme val="minor"/>
      </rPr>
      <t xml:space="preserve"> UT</t>
    </r>
  </si>
  <si>
    <t>G67</t>
  </si>
  <si>
    <t>W505</t>
  </si>
  <si>
    <t>02 03 05</t>
  </si>
  <si>
    <t>VT</t>
  </si>
  <si>
    <r>
      <t>Vermont:</t>
    </r>
    <r>
      <rPr>
        <sz val="11"/>
        <color theme="1"/>
        <rFont val="Aptos Narrow"/>
        <family val="2"/>
        <scheme val="minor"/>
      </rPr>
      <t xml:space="preserve"> VT</t>
    </r>
  </si>
  <si>
    <t>G68</t>
  </si>
  <si>
    <t>W506</t>
  </si>
  <si>
    <t>02 03 99</t>
  </si>
  <si>
    <t>VA</t>
  </si>
  <si>
    <r>
      <t>Virginia:</t>
    </r>
    <r>
      <rPr>
        <sz val="11"/>
        <color theme="1"/>
        <rFont val="Aptos Narrow"/>
        <family val="2"/>
        <scheme val="minor"/>
      </rPr>
      <t xml:space="preserve"> VA</t>
    </r>
  </si>
  <si>
    <t>G69</t>
  </si>
  <si>
    <t>W519</t>
  </si>
  <si>
    <t>02 04 01</t>
  </si>
  <si>
    <t>WA</t>
  </si>
  <si>
    <r>
      <t>Washington:</t>
    </r>
    <r>
      <rPr>
        <sz val="11"/>
        <color theme="1"/>
        <rFont val="Aptos Narrow"/>
        <family val="2"/>
        <scheme val="minor"/>
      </rPr>
      <t xml:space="preserve"> WA</t>
    </r>
  </si>
  <si>
    <t>G70</t>
  </si>
  <si>
    <t>W603</t>
  </si>
  <si>
    <t>02 04 02</t>
  </si>
  <si>
    <t>WV</t>
  </si>
  <si>
    <r>
      <t>West Virginia:</t>
    </r>
    <r>
      <rPr>
        <sz val="11"/>
        <color theme="1"/>
        <rFont val="Aptos Narrow"/>
        <family val="2"/>
        <scheme val="minor"/>
      </rPr>
      <t xml:space="preserve"> WV</t>
    </r>
  </si>
  <si>
    <t>G71</t>
  </si>
  <si>
    <t>W604</t>
  </si>
  <si>
    <t>02 04 03</t>
  </si>
  <si>
    <t>WI</t>
  </si>
  <si>
    <r>
      <t>Wisconsin:</t>
    </r>
    <r>
      <rPr>
        <sz val="11"/>
        <color theme="1"/>
        <rFont val="Aptos Narrow"/>
        <family val="2"/>
        <scheme val="minor"/>
      </rPr>
      <t xml:space="preserve"> WI</t>
    </r>
  </si>
  <si>
    <t>G72</t>
  </si>
  <si>
    <t>W606</t>
  </si>
  <si>
    <t>02 04 99</t>
  </si>
  <si>
    <t>WY</t>
  </si>
  <si>
    <r>
      <t>Wyoming:</t>
    </r>
    <r>
      <rPr>
        <sz val="11"/>
        <color theme="1"/>
        <rFont val="Aptos Narrow"/>
        <family val="2"/>
        <scheme val="minor"/>
      </rPr>
      <t xml:space="preserve"> WY</t>
    </r>
  </si>
  <si>
    <t>G73</t>
  </si>
  <si>
    <t>W609</t>
  </si>
  <si>
    <t>02 05 01</t>
  </si>
  <si>
    <t>G74</t>
  </si>
  <si>
    <t>02 05 02</t>
  </si>
  <si>
    <t>G75</t>
  </si>
  <si>
    <t>02 05 99</t>
  </si>
  <si>
    <t>02 06 01</t>
  </si>
  <si>
    <t>02 06 02</t>
  </si>
  <si>
    <t>02 06 03</t>
  </si>
  <si>
    <t>02 06 99</t>
  </si>
  <si>
    <t>02 07 01</t>
  </si>
  <si>
    <t>02 07 02</t>
  </si>
  <si>
    <t>02 07 03</t>
  </si>
  <si>
    <t>02 07 04</t>
  </si>
  <si>
    <t>02 07 05</t>
  </si>
  <si>
    <t>02 07 99</t>
  </si>
  <si>
    <t>03 01 01</t>
  </si>
  <si>
    <t>03 01 04*</t>
  </si>
  <si>
    <t>03 01 05</t>
  </si>
  <si>
    <t>03 01 99</t>
  </si>
  <si>
    <t>03 02 01*</t>
  </si>
  <si>
    <t>03 02 02*</t>
  </si>
  <si>
    <t>03 02 03*</t>
  </si>
  <si>
    <t>03 02 04*</t>
  </si>
  <si>
    <t>03 02 05*</t>
  </si>
  <si>
    <t>03 02 99</t>
  </si>
  <si>
    <t>03 03 01</t>
  </si>
  <si>
    <t>03 03 02</t>
  </si>
  <si>
    <t>03 03 05</t>
  </si>
  <si>
    <t>03 03 07</t>
  </si>
  <si>
    <t>03 03 08</t>
  </si>
  <si>
    <t>03 03 09</t>
  </si>
  <si>
    <t>03 03 10</t>
  </si>
  <si>
    <t>03 03 11</t>
  </si>
  <si>
    <t>03 03 99</t>
  </si>
  <si>
    <t>04 01 01</t>
  </si>
  <si>
    <t>04 01 02</t>
  </si>
  <si>
    <t>04 01 03*</t>
  </si>
  <si>
    <t>04 01 04</t>
  </si>
  <si>
    <t>04 01 05</t>
  </si>
  <si>
    <t>04 01 06</t>
  </si>
  <si>
    <t>04 01 07</t>
  </si>
  <si>
    <t>04 01 08</t>
  </si>
  <si>
    <t>04 01 09</t>
  </si>
  <si>
    <t>04 01 99</t>
  </si>
  <si>
    <t>04 02 09</t>
  </si>
  <si>
    <t>04 02 10</t>
  </si>
  <si>
    <t>04 02 14*</t>
  </si>
  <si>
    <t>04 02 15</t>
  </si>
  <si>
    <t>04 02 16*</t>
  </si>
  <si>
    <t>04 02 17</t>
  </si>
  <si>
    <t>04 02 19*</t>
  </si>
  <si>
    <t>04 02 20</t>
  </si>
  <si>
    <t>04 02 21</t>
  </si>
  <si>
    <t>04 02 22</t>
  </si>
  <si>
    <t>04 02 99</t>
  </si>
  <si>
    <t>05 01 02*</t>
  </si>
  <si>
    <t>05 01 03*</t>
  </si>
  <si>
    <t>05 01 04*</t>
  </si>
  <si>
    <t>05 01 05*</t>
  </si>
  <si>
    <t>05 01 06*</t>
  </si>
  <si>
    <t>05 01 07*</t>
  </si>
  <si>
    <t>05 01 08*</t>
  </si>
  <si>
    <t>05 01 09*</t>
  </si>
  <si>
    <t>05 01 10</t>
  </si>
  <si>
    <t>05 01 11*</t>
  </si>
  <si>
    <t>05 01 12*</t>
  </si>
  <si>
    <t>05 01 13</t>
  </si>
  <si>
    <t>05 01 14</t>
  </si>
  <si>
    <t>05 01 15*</t>
  </si>
  <si>
    <t>05 01 16</t>
  </si>
  <si>
    <t>05 01 17</t>
  </si>
  <si>
    <t>05 01 99</t>
  </si>
  <si>
    <t>05 06 01*</t>
  </si>
  <si>
    <t>05 06 03*</t>
  </si>
  <si>
    <t>05 06 04</t>
  </si>
  <si>
    <t>05 06 99</t>
  </si>
  <si>
    <t>05 07 01*</t>
  </si>
  <si>
    <t>05 07 02</t>
  </si>
  <si>
    <t>05 07 99</t>
  </si>
  <si>
    <t>06 01 01*</t>
  </si>
  <si>
    <t>06 01 02*</t>
  </si>
  <si>
    <t>06 01 03*</t>
  </si>
  <si>
    <t>06 01 04*</t>
  </si>
  <si>
    <t>06 01 05*</t>
  </si>
  <si>
    <t>06 01 06*</t>
  </si>
  <si>
    <t>06 01 99</t>
  </si>
  <si>
    <t>06 02 01*</t>
  </si>
  <si>
    <t>06 02 03*</t>
  </si>
  <si>
    <t>06 02 04*</t>
  </si>
  <si>
    <t>06 02 05*</t>
  </si>
  <si>
    <t>06 02 99</t>
  </si>
  <si>
    <t>06 03 11*</t>
  </si>
  <si>
    <t>06 03 13*</t>
  </si>
  <si>
    <t>06 03 14</t>
  </si>
  <si>
    <t>06 03 15*</t>
  </si>
  <si>
    <t>06 03 16</t>
  </si>
  <si>
    <t>06 03 99</t>
  </si>
  <si>
    <t>06 04 03*</t>
  </si>
  <si>
    <t>06 04 04*</t>
  </si>
  <si>
    <t>06 04 05*</t>
  </si>
  <si>
    <t>06 04 99</t>
  </si>
  <si>
    <t>06 05 02*</t>
  </si>
  <si>
    <t>06 05 03</t>
  </si>
  <si>
    <t>06 06 02*</t>
  </si>
  <si>
    <t>06 06 03</t>
  </si>
  <si>
    <t>06 06 99</t>
  </si>
  <si>
    <t>06 07 01*</t>
  </si>
  <si>
    <t>06 07 02*</t>
  </si>
  <si>
    <t>06 07 03*</t>
  </si>
  <si>
    <t>06 07 04*</t>
  </si>
  <si>
    <t>06 07 99</t>
  </si>
  <si>
    <t>06 08 02*</t>
  </si>
  <si>
    <t>06 08 99</t>
  </si>
  <si>
    <t>06 09 02</t>
  </si>
  <si>
    <t>06 09 03*</t>
  </si>
  <si>
    <t>06 09 04</t>
  </si>
  <si>
    <t>06 09 99</t>
  </si>
  <si>
    <t>06 10 02*</t>
  </si>
  <si>
    <t>06 10 99</t>
  </si>
  <si>
    <t>06 11 01</t>
  </si>
  <si>
    <t>06 11 99</t>
  </si>
  <si>
    <t>06 13 01*</t>
  </si>
  <si>
    <t>06 13 02*</t>
  </si>
  <si>
    <t>06 13 03</t>
  </si>
  <si>
    <t>06 13 04*</t>
  </si>
  <si>
    <t>06 13 05*</t>
  </si>
  <si>
    <t>06 13 99</t>
  </si>
  <si>
    <t>07 01 01*</t>
  </si>
  <si>
    <t>07 01 03*</t>
  </si>
  <si>
    <t>07 01 04*</t>
  </si>
  <si>
    <t>07 01 07*</t>
  </si>
  <si>
    <t>07 01 08*</t>
  </si>
  <si>
    <t>07 01 09*</t>
  </si>
  <si>
    <t>07 01 10*</t>
  </si>
  <si>
    <t>07 01 11*</t>
  </si>
  <si>
    <t>07 01 12</t>
  </si>
  <si>
    <t>07 01 99</t>
  </si>
  <si>
    <t>07 02 01*</t>
  </si>
  <si>
    <t>07 02 03*</t>
  </si>
  <si>
    <t>07 02 04*</t>
  </si>
  <si>
    <t>07 02 07*</t>
  </si>
  <si>
    <t>07 02 08*</t>
  </si>
  <si>
    <t>07 02 09*</t>
  </si>
  <si>
    <t>07 02 10*</t>
  </si>
  <si>
    <t>07 02 11*</t>
  </si>
  <si>
    <t>07 02 12</t>
  </si>
  <si>
    <t>07 02 13</t>
  </si>
  <si>
    <t>07 02 14*</t>
  </si>
  <si>
    <t>07 02 15</t>
  </si>
  <si>
    <t>07 02 16*</t>
  </si>
  <si>
    <t>07 02 17</t>
  </si>
  <si>
    <t>07 02 99</t>
  </si>
  <si>
    <t>07 03 01*</t>
  </si>
  <si>
    <t>07 03 03*</t>
  </si>
  <si>
    <t>07 03 04*</t>
  </si>
  <si>
    <t>07 03 07*</t>
  </si>
  <si>
    <t>07 03 08*</t>
  </si>
  <si>
    <t>07 03 09*</t>
  </si>
  <si>
    <t>07 03 10*</t>
  </si>
  <si>
    <t>07 03 11*</t>
  </si>
  <si>
    <t>07 03 12</t>
  </si>
  <si>
    <t>07 03 99</t>
  </si>
  <si>
    <t>07 04 01*</t>
  </si>
  <si>
    <t>07 04 03*</t>
  </si>
  <si>
    <t>07 04 04*</t>
  </si>
  <si>
    <t>07 04 07*</t>
  </si>
  <si>
    <t>07 04 08*</t>
  </si>
  <si>
    <t>07 04 09*</t>
  </si>
  <si>
    <t>07 04 10*</t>
  </si>
  <si>
    <t>07 04 11*</t>
  </si>
  <si>
    <t>07 04 12</t>
  </si>
  <si>
    <t>07 04 13*</t>
  </si>
  <si>
    <t>07 04 99</t>
  </si>
  <si>
    <t>07 05 01*</t>
  </si>
  <si>
    <t>07 05 03*</t>
  </si>
  <si>
    <t>07 05 04*</t>
  </si>
  <si>
    <t>07 05 07*</t>
  </si>
  <si>
    <t>07 05 08*</t>
  </si>
  <si>
    <t>07 05 09*</t>
  </si>
  <si>
    <t>07 05 10*</t>
  </si>
  <si>
    <t>07 05 11*</t>
  </si>
  <si>
    <t>07 05 12</t>
  </si>
  <si>
    <t>07 05 13*</t>
  </si>
  <si>
    <t>07 05 14</t>
  </si>
  <si>
    <t>07 05 99</t>
  </si>
  <si>
    <t>07 06 01*</t>
  </si>
  <si>
    <t>07 06 03*</t>
  </si>
  <si>
    <t>07 06 04*</t>
  </si>
  <si>
    <t>07 06 07*</t>
  </si>
  <si>
    <t>07 06 08*</t>
  </si>
  <si>
    <t>07 06 09*</t>
  </si>
  <si>
    <t>07 06 10*</t>
  </si>
  <si>
    <t>07 06 11*</t>
  </si>
  <si>
    <t>07 06 12</t>
  </si>
  <si>
    <t>07 06 99</t>
  </si>
  <si>
    <t>07 07 01*</t>
  </si>
  <si>
    <t>07 07 03*</t>
  </si>
  <si>
    <t>07 07 04*</t>
  </si>
  <si>
    <t>07 07 07*</t>
  </si>
  <si>
    <t>07 07 08*</t>
  </si>
  <si>
    <t>07 07 09*</t>
  </si>
  <si>
    <t>07 07 10*</t>
  </si>
  <si>
    <t>07 07 11*</t>
  </si>
  <si>
    <t>07 07 12</t>
  </si>
  <si>
    <t>07 07 99</t>
  </si>
  <si>
    <t>08 01 12</t>
  </si>
  <si>
    <t>08 01 13*</t>
  </si>
  <si>
    <t>08 01 14</t>
  </si>
  <si>
    <t>08 01 15*</t>
  </si>
  <si>
    <t>08 01 16</t>
  </si>
  <si>
    <t>08 01 17*</t>
  </si>
  <si>
    <t>08 01 18</t>
  </si>
  <si>
    <t>08 01 19*</t>
  </si>
  <si>
    <t>08 01 20</t>
  </si>
  <si>
    <t>08 01 21*</t>
  </si>
  <si>
    <t>08 01 99</t>
  </si>
  <si>
    <t>08 02 01</t>
  </si>
  <si>
    <t>08 02 02</t>
  </si>
  <si>
    <t>08 02 03</t>
  </si>
  <si>
    <t>08 02 99</t>
  </si>
  <si>
    <t>08 03 07</t>
  </si>
  <si>
    <t>08 03 08</t>
  </si>
  <si>
    <t>08 03 12*</t>
  </si>
  <si>
    <t>08 03 13</t>
  </si>
  <si>
    <t>08 03 14*</t>
  </si>
  <si>
    <t>08 03 15</t>
  </si>
  <si>
    <t>08 03 16*</t>
  </si>
  <si>
    <t>08 03 17*</t>
  </si>
  <si>
    <t>08 03 18</t>
  </si>
  <si>
    <t>08 03 19*</t>
  </si>
  <si>
    <t>08 03 99</t>
  </si>
  <si>
    <t>08 04 09*</t>
  </si>
  <si>
    <t>08 04 10</t>
  </si>
  <si>
    <t>08 04 11*</t>
  </si>
  <si>
    <t>08 04 12</t>
  </si>
  <si>
    <t>08 04 13*</t>
  </si>
  <si>
    <t>08 04 14</t>
  </si>
  <si>
    <t>08 04 15*</t>
  </si>
  <si>
    <t>08 04 16</t>
  </si>
  <si>
    <t>08 04 17*</t>
  </si>
  <si>
    <t>08 04 99</t>
  </si>
  <si>
    <t>08 05 01*</t>
  </si>
  <si>
    <t>09 01 01*</t>
  </si>
  <si>
    <t>09 01 02*</t>
  </si>
  <si>
    <t>09 01 03*</t>
  </si>
  <si>
    <t>09 01 04*</t>
  </si>
  <si>
    <t>09 01 05*</t>
  </si>
  <si>
    <t>09 01 06*</t>
  </si>
  <si>
    <t>09 01 07</t>
  </si>
  <si>
    <t>09 01 08</t>
  </si>
  <si>
    <t>09 01 10</t>
  </si>
  <si>
    <t>09 01 11*</t>
  </si>
  <si>
    <t>09 01 12</t>
  </si>
  <si>
    <t>09 01 13*</t>
  </si>
  <si>
    <t>09 01 99</t>
  </si>
  <si>
    <t>10 01 01</t>
  </si>
  <si>
    <t>10 01 02</t>
  </si>
  <si>
    <t>10 01 03</t>
  </si>
  <si>
    <t>10 01 04*</t>
  </si>
  <si>
    <t>10 01 05</t>
  </si>
  <si>
    <t>10 01 07</t>
  </si>
  <si>
    <t>10 01 09*</t>
  </si>
  <si>
    <t>10 01 13*</t>
  </si>
  <si>
    <t>10 01 14*</t>
  </si>
  <si>
    <t>10 01 15</t>
  </si>
  <si>
    <t>10 01 16*</t>
  </si>
  <si>
    <t>10 01 17</t>
  </si>
  <si>
    <t>10 01 18*</t>
  </si>
  <si>
    <t>10 01 19</t>
  </si>
  <si>
    <t>10 01 20*</t>
  </si>
  <si>
    <t>10 01 21</t>
  </si>
  <si>
    <t>10 01 22*</t>
  </si>
  <si>
    <t>10 01 23</t>
  </si>
  <si>
    <t>10 01 24</t>
  </si>
  <si>
    <t>10 01 25</t>
  </si>
  <si>
    <t>10 01 26</t>
  </si>
  <si>
    <t>10 01 99</t>
  </si>
  <si>
    <t>10 02 01</t>
  </si>
  <si>
    <t>10 02 02</t>
  </si>
  <si>
    <t>10 02 07*</t>
  </si>
  <si>
    <t>10 02 08</t>
  </si>
  <si>
    <t>10 02 10</t>
  </si>
  <si>
    <t>10 02 11*</t>
  </si>
  <si>
    <t>10 02 12</t>
  </si>
  <si>
    <t>10 02 13*</t>
  </si>
  <si>
    <t>10 02 14</t>
  </si>
  <si>
    <t>10 02 15</t>
  </si>
  <si>
    <t>10 02 99</t>
  </si>
  <si>
    <t>10 03 02</t>
  </si>
  <si>
    <t>10 03 04*</t>
  </si>
  <si>
    <t>10 03 05</t>
  </si>
  <si>
    <t>10 03 08*</t>
  </si>
  <si>
    <t>10 03 09*</t>
  </si>
  <si>
    <t>10 03 15*</t>
  </si>
  <si>
    <t>10 03 16</t>
  </si>
  <si>
    <t>10 03 17*</t>
  </si>
  <si>
    <t>10 03 18</t>
  </si>
  <si>
    <t>10 03 19*</t>
  </si>
  <si>
    <t>10 03 20</t>
  </si>
  <si>
    <t>10 03 21*</t>
  </si>
  <si>
    <t>10 03 22</t>
  </si>
  <si>
    <t>10 03 23*</t>
  </si>
  <si>
    <t>10 03 24</t>
  </si>
  <si>
    <t>10 03 25*</t>
  </si>
  <si>
    <t>10 03 26</t>
  </si>
  <si>
    <t>10 03 27*</t>
  </si>
  <si>
    <t>10 03 28</t>
  </si>
  <si>
    <t>10 03 29*</t>
  </si>
  <si>
    <t>10 03 30</t>
  </si>
  <si>
    <t>10 03 99</t>
  </si>
  <si>
    <t>10 04 01*</t>
  </si>
  <si>
    <t>10 04 02*</t>
  </si>
  <si>
    <t>10 04 03*</t>
  </si>
  <si>
    <t>10 04 04*</t>
  </si>
  <si>
    <t>10 04 05*</t>
  </si>
  <si>
    <t>10 04 06*</t>
  </si>
  <si>
    <t>10 04 07*</t>
  </si>
  <si>
    <t>10 04 09*</t>
  </si>
  <si>
    <t>10 04 10</t>
  </si>
  <si>
    <t>10 04 99</t>
  </si>
  <si>
    <t>10 05 01</t>
  </si>
  <si>
    <t>10 05 03*</t>
  </si>
  <si>
    <t>10 05 04</t>
  </si>
  <si>
    <t>10 05 05*</t>
  </si>
  <si>
    <t>10 05 06*</t>
  </si>
  <si>
    <t>10 05 08*</t>
  </si>
  <si>
    <t>10 05 09</t>
  </si>
  <si>
    <t>10 05 10*</t>
  </si>
  <si>
    <t>10 05 11</t>
  </si>
  <si>
    <t>10 05 99</t>
  </si>
  <si>
    <t>10 06 01</t>
  </si>
  <si>
    <t>10 06 02</t>
  </si>
  <si>
    <t>10 06 03*</t>
  </si>
  <si>
    <t>10 06 04</t>
  </si>
  <si>
    <t>10 06 06*</t>
  </si>
  <si>
    <t>10 06 07*</t>
  </si>
  <si>
    <t>10 06 09*</t>
  </si>
  <si>
    <t>10 06 10</t>
  </si>
  <si>
    <t>10 06 99</t>
  </si>
  <si>
    <t>10 07 01</t>
  </si>
  <si>
    <t>10 07 02</t>
  </si>
  <si>
    <t>10 07 03</t>
  </si>
  <si>
    <t>10 07 04</t>
  </si>
  <si>
    <t>10 07 05</t>
  </si>
  <si>
    <t>10 07 07*</t>
  </si>
  <si>
    <t>10 07 08</t>
  </si>
  <si>
    <t>10 07 99</t>
  </si>
  <si>
    <t>10 08 04</t>
  </si>
  <si>
    <t>10 08 08*</t>
  </si>
  <si>
    <t>10 08 09</t>
  </si>
  <si>
    <t>10 08 10*</t>
  </si>
  <si>
    <t>10 08 11</t>
  </si>
  <si>
    <t>10 08 12*</t>
  </si>
  <si>
    <t>10 08 13</t>
  </si>
  <si>
    <t>10 08 14</t>
  </si>
  <si>
    <t>10 08 15*</t>
  </si>
  <si>
    <t>10 08 16</t>
  </si>
  <si>
    <t>10 08 17*</t>
  </si>
  <si>
    <t>10 08 18</t>
  </si>
  <si>
    <t>10 08 19*</t>
  </si>
  <si>
    <t>10 08 20</t>
  </si>
  <si>
    <t>10 08 99</t>
  </si>
  <si>
    <t>10 09 03</t>
  </si>
  <si>
    <t>10 09 05*</t>
  </si>
  <si>
    <t>10 09 06</t>
  </si>
  <si>
    <t>10 09 07*</t>
  </si>
  <si>
    <t>10 09 08</t>
  </si>
  <si>
    <t>10 09 09*</t>
  </si>
  <si>
    <t>10 09 10</t>
  </si>
  <si>
    <t>10 09 11*</t>
  </si>
  <si>
    <t>10 09 12</t>
  </si>
  <si>
    <t>10 09 13*</t>
  </si>
  <si>
    <t>10 09 14</t>
  </si>
  <si>
    <t>10 09 15*</t>
  </si>
  <si>
    <t>10 09 16</t>
  </si>
  <si>
    <t>10 09 99</t>
  </si>
  <si>
    <t>10 10 03</t>
  </si>
  <si>
    <t>10 10 05*</t>
  </si>
  <si>
    <t>10 10 06</t>
  </si>
  <si>
    <t>10 10 07*</t>
  </si>
  <si>
    <t>10 10 08</t>
  </si>
  <si>
    <t>10 10 09*</t>
  </si>
  <si>
    <t>10 10 10</t>
  </si>
  <si>
    <t>10 10 11*</t>
  </si>
  <si>
    <t>10 10 12</t>
  </si>
  <si>
    <t>10 10 13*</t>
  </si>
  <si>
    <t>10 10 14</t>
  </si>
  <si>
    <t>10 10 15*</t>
  </si>
  <si>
    <t>10 10 16</t>
  </si>
  <si>
    <t>10 10 99</t>
  </si>
  <si>
    <t>10 11 03</t>
  </si>
  <si>
    <t>10 11 05</t>
  </si>
  <si>
    <t>10 11 09*</t>
  </si>
  <si>
    <t>10 11 10</t>
  </si>
  <si>
    <t>10 11 11*</t>
  </si>
  <si>
    <t>10 11 12</t>
  </si>
  <si>
    <t>10 11 13*</t>
  </si>
  <si>
    <t>10 11 14</t>
  </si>
  <si>
    <t>10 11 15*</t>
  </si>
  <si>
    <t>10 11 16</t>
  </si>
  <si>
    <t>10 11 17*</t>
  </si>
  <si>
    <t>10 11 18</t>
  </si>
  <si>
    <t>10 11 19*</t>
  </si>
  <si>
    <t>10 11 20</t>
  </si>
  <si>
    <t>10 11 99</t>
  </si>
  <si>
    <t>10 12 01</t>
  </si>
  <si>
    <t>10 12 03</t>
  </si>
  <si>
    <t>10 12 05</t>
  </si>
  <si>
    <t>10 12 06</t>
  </si>
  <si>
    <t>10 12 08</t>
  </si>
  <si>
    <t>10 12 09*</t>
  </si>
  <si>
    <t>10 12 10</t>
  </si>
  <si>
    <t>10 12 11*</t>
  </si>
  <si>
    <t>10 12 12</t>
  </si>
  <si>
    <t>10 12 13</t>
  </si>
  <si>
    <t>10 12 99</t>
  </si>
  <si>
    <t>10 13 01</t>
  </si>
  <si>
    <t>10 13 04</t>
  </si>
  <si>
    <t>10 13 06</t>
  </si>
  <si>
    <t>10 13 07</t>
  </si>
  <si>
    <t>10 13 09*</t>
  </si>
  <si>
    <t>10 13 10</t>
  </si>
  <si>
    <t>10 13 11</t>
  </si>
  <si>
    <t>10 13 12*</t>
  </si>
  <si>
    <t>10 13 13</t>
  </si>
  <si>
    <t>10 13 14</t>
  </si>
  <si>
    <t>10 13 99</t>
  </si>
  <si>
    <t>10 14 01*</t>
  </si>
  <si>
    <t>11 01 05*</t>
  </si>
  <si>
    <t>11 01 06*</t>
  </si>
  <si>
    <t>11 01 07*</t>
  </si>
  <si>
    <t>11 01 08*</t>
  </si>
  <si>
    <t>11 01 09*</t>
  </si>
  <si>
    <t>11 01 10</t>
  </si>
  <si>
    <t>11 01 11*</t>
  </si>
  <si>
    <t>11 01 12</t>
  </si>
  <si>
    <t>11 01 13*</t>
  </si>
  <si>
    <t>11 01 14</t>
  </si>
  <si>
    <t>11 01 15*</t>
  </si>
  <si>
    <t>11 01 16*</t>
  </si>
  <si>
    <t>11 01 98*</t>
  </si>
  <si>
    <t>11 01 99</t>
  </si>
  <si>
    <t>11 02 02*</t>
  </si>
  <si>
    <t>11 02 03</t>
  </si>
  <si>
    <t>11 02 05*</t>
  </si>
  <si>
    <t>11 02 06</t>
  </si>
  <si>
    <t>11 02 07*</t>
  </si>
  <si>
    <t>11 02 99</t>
  </si>
  <si>
    <t>11 03 01*</t>
  </si>
  <si>
    <t>11 03 02*</t>
  </si>
  <si>
    <t>11 05 01</t>
  </si>
  <si>
    <t>11 05 02</t>
  </si>
  <si>
    <t>11 05 03*</t>
  </si>
  <si>
    <t>11 05 04*</t>
  </si>
  <si>
    <t>11 05 99</t>
  </si>
  <si>
    <t>12 01 01</t>
  </si>
  <si>
    <t>12 01 02</t>
  </si>
  <si>
    <t>12 01 03</t>
  </si>
  <si>
    <t>12 01 04</t>
  </si>
  <si>
    <t>12 01 05</t>
  </si>
  <si>
    <t>12 01 06*</t>
  </si>
  <si>
    <t>12 01 07*</t>
  </si>
  <si>
    <t>12 01 08*</t>
  </si>
  <si>
    <t>12 01 09*</t>
  </si>
  <si>
    <t>12 01 10*</t>
  </si>
  <si>
    <t>12 01 12*</t>
  </si>
  <si>
    <t>12 01 13</t>
  </si>
  <si>
    <t>12 01 14*</t>
  </si>
  <si>
    <t>12 01 15</t>
  </si>
  <si>
    <t>12 01 16*</t>
  </si>
  <si>
    <t>12 01 17</t>
  </si>
  <si>
    <t>12 01 18*</t>
  </si>
  <si>
    <t>12 01 19*</t>
  </si>
  <si>
    <t>12 01 20*</t>
  </si>
  <si>
    <t>12 01 21</t>
  </si>
  <si>
    <t>12 01 99</t>
  </si>
  <si>
    <t>12 03 01*</t>
  </si>
  <si>
    <t>12 03 02*</t>
  </si>
  <si>
    <t>13 01 01*</t>
  </si>
  <si>
    <t>13 01 04*</t>
  </si>
  <si>
    <t>13 01 05*</t>
  </si>
  <si>
    <t>13 01 09*</t>
  </si>
  <si>
    <t>13 01 10*</t>
  </si>
  <si>
    <t>13 01 11*</t>
  </si>
  <si>
    <t>13 01 12*</t>
  </si>
  <si>
    <t>13 01 13*</t>
  </si>
  <si>
    <t>13 02 04*</t>
  </si>
  <si>
    <t>13 02 05*</t>
  </si>
  <si>
    <t>13 02 06*</t>
  </si>
  <si>
    <t>13 02 07*</t>
  </si>
  <si>
    <t>13 02 08*</t>
  </si>
  <si>
    <t>13 03 01*</t>
  </si>
  <si>
    <t>13 03 06*</t>
  </si>
  <si>
    <t>13 03 07*</t>
  </si>
  <si>
    <t>13 03 08*</t>
  </si>
  <si>
    <t>13 03 09*</t>
  </si>
  <si>
    <t>13 03 10*</t>
  </si>
  <si>
    <t>13 04 01*</t>
  </si>
  <si>
    <t>13 04 02*</t>
  </si>
  <si>
    <t>13 04 03*</t>
  </si>
  <si>
    <t>13 05 01*</t>
  </si>
  <si>
    <t>13 05 02*</t>
  </si>
  <si>
    <t>13 05 03*</t>
  </si>
  <si>
    <t>13 05 06*</t>
  </si>
  <si>
    <t>13 05 07*</t>
  </si>
  <si>
    <t>13 05 08*</t>
  </si>
  <si>
    <t>13 07 01*</t>
  </si>
  <si>
    <t>13 07 02*</t>
  </si>
  <si>
    <t>13 07 03*</t>
  </si>
  <si>
    <t>13 08 01*</t>
  </si>
  <si>
    <t>13 08 02*</t>
  </si>
  <si>
    <t>13 08 99*</t>
  </si>
  <si>
    <t>14 06 01*</t>
  </si>
  <si>
    <t>14 06 02*</t>
  </si>
  <si>
    <t>14 06 03*</t>
  </si>
  <si>
    <t>14 06 04*</t>
  </si>
  <si>
    <t>14 06 05*</t>
  </si>
  <si>
    <t>15 01 01</t>
  </si>
  <si>
    <t>15 01 02</t>
  </si>
  <si>
    <t>15 01 03</t>
  </si>
  <si>
    <t>15 01 04</t>
  </si>
  <si>
    <t>15 01 05</t>
  </si>
  <si>
    <t>15 01 06</t>
  </si>
  <si>
    <t>15 01 07</t>
  </si>
  <si>
    <t>15 01 09</t>
  </si>
  <si>
    <t>15 01 10*</t>
  </si>
  <si>
    <t>15 01 11*</t>
  </si>
  <si>
    <t>15 02 02*</t>
  </si>
  <si>
    <t>15 02 03</t>
  </si>
  <si>
    <t>16 01 03</t>
  </si>
  <si>
    <t>16 01 04*</t>
  </si>
  <si>
    <t>16 01 06</t>
  </si>
  <si>
    <t>16 01 07*</t>
  </si>
  <si>
    <t>16 01 08*</t>
  </si>
  <si>
    <t>16 01 09*</t>
  </si>
  <si>
    <t>16 01 10*</t>
  </si>
  <si>
    <t>16 01 11*</t>
  </si>
  <si>
    <t>16 01 12</t>
  </si>
  <si>
    <t>16 01 13*</t>
  </si>
  <si>
    <t>16 01 14*</t>
  </si>
  <si>
    <t>16 01 15</t>
  </si>
  <si>
    <t>16 01 16</t>
  </si>
  <si>
    <t>16 01 17</t>
  </si>
  <si>
    <t>16 01 18</t>
  </si>
  <si>
    <t>16 01 19</t>
  </si>
  <si>
    <t>16 01 20</t>
  </si>
  <si>
    <t>16 01 21*</t>
  </si>
  <si>
    <t>16 01 22</t>
  </si>
  <si>
    <t>16 01 99</t>
  </si>
  <si>
    <t>16 02 09*</t>
  </si>
  <si>
    <t>16 02 10*</t>
  </si>
  <si>
    <t>16 02 11*</t>
  </si>
  <si>
    <t>16 02 12*</t>
  </si>
  <si>
    <t>16 02 13*</t>
  </si>
  <si>
    <t>16 02 14</t>
  </si>
  <si>
    <t>16 02 15*</t>
  </si>
  <si>
    <t>16 02 16</t>
  </si>
  <si>
    <t>16 03 03*</t>
  </si>
  <si>
    <t>16 03 04</t>
  </si>
  <si>
    <t>16 03 05*</t>
  </si>
  <si>
    <t>16 03 06</t>
  </si>
  <si>
    <t>16 03 07*</t>
  </si>
  <si>
    <t>16 04 01*</t>
  </si>
  <si>
    <t>16 04 02*</t>
  </si>
  <si>
    <t>16 04 03*</t>
  </si>
  <si>
    <t>16 05 04*</t>
  </si>
  <si>
    <t>16 05 05</t>
  </si>
  <si>
    <t>16 05 06*</t>
  </si>
  <si>
    <t>16 05 07*</t>
  </si>
  <si>
    <t>16 05 08*</t>
  </si>
  <si>
    <t>16 05 09</t>
  </si>
  <si>
    <t>16 06 01*</t>
  </si>
  <si>
    <t>16 06 02*</t>
  </si>
  <si>
    <t>16 06 03*</t>
  </si>
  <si>
    <t>16 06 04</t>
  </si>
  <si>
    <t>16 06 05</t>
  </si>
  <si>
    <t>16 06 06*</t>
  </si>
  <si>
    <t>16 07 08*</t>
  </si>
  <si>
    <t>16 07 09*</t>
  </si>
  <si>
    <t>16 07 99</t>
  </si>
  <si>
    <t>16 08 01</t>
  </si>
  <si>
    <t>16 08 02*</t>
  </si>
  <si>
    <t>16 08 03</t>
  </si>
  <si>
    <t>16 08 04</t>
  </si>
  <si>
    <t>16 08 05*</t>
  </si>
  <si>
    <t>16 08 06*</t>
  </si>
  <si>
    <t>16 08 07*</t>
  </si>
  <si>
    <t>16 09 01*</t>
  </si>
  <si>
    <t>16 09 02*</t>
  </si>
  <si>
    <t>16 09 03*</t>
  </si>
  <si>
    <t>16 09 04*</t>
  </si>
  <si>
    <t>16 10 01*</t>
  </si>
  <si>
    <t>16 10 02</t>
  </si>
  <si>
    <t>16 10 03*</t>
  </si>
  <si>
    <t>16 10 04</t>
  </si>
  <si>
    <t>16 11 01*</t>
  </si>
  <si>
    <t>16 11 02</t>
  </si>
  <si>
    <t>16 11 03*</t>
  </si>
  <si>
    <t>16 11 04</t>
  </si>
  <si>
    <t>16 11 05*</t>
  </si>
  <si>
    <t>16 11 06</t>
  </si>
  <si>
    <t>17 01 01</t>
  </si>
  <si>
    <t>17 01 02</t>
  </si>
  <si>
    <t>17 01 03</t>
  </si>
  <si>
    <t>17 01 06*</t>
  </si>
  <si>
    <t>17 01 07</t>
  </si>
  <si>
    <t>17 02 01</t>
  </si>
  <si>
    <t>17 02 02</t>
  </si>
  <si>
    <t>17 02 03</t>
  </si>
  <si>
    <t>17 02 04*</t>
  </si>
  <si>
    <t>17 03 01*</t>
  </si>
  <si>
    <t>17 03 02</t>
  </si>
  <si>
    <t>17 03 03*</t>
  </si>
  <si>
    <t>17 04 01</t>
  </si>
  <si>
    <t>17 04 02</t>
  </si>
  <si>
    <t>17 04 03</t>
  </si>
  <si>
    <t>17 04 04</t>
  </si>
  <si>
    <t>17 04 05</t>
  </si>
  <si>
    <t>17 04 06</t>
  </si>
  <si>
    <t>17 04 07</t>
  </si>
  <si>
    <t>17 04 09*</t>
  </si>
  <si>
    <t>17 04 10*</t>
  </si>
  <si>
    <t>17 04 11</t>
  </si>
  <si>
    <t>17 05 03*</t>
  </si>
  <si>
    <t>17 05 04</t>
  </si>
  <si>
    <t>17 05 05*</t>
  </si>
  <si>
    <t>17 05 06</t>
  </si>
  <si>
    <t>17 05 07*</t>
  </si>
  <si>
    <t>17 05 08</t>
  </si>
  <si>
    <t>17 06 01*</t>
  </si>
  <si>
    <t>17 06 03*</t>
  </si>
  <si>
    <t>17 06 04</t>
  </si>
  <si>
    <t>17 06 05*</t>
  </si>
  <si>
    <t>17 08 01*</t>
  </si>
  <si>
    <t>17 08 02</t>
  </si>
  <si>
    <t>17 09 01*</t>
  </si>
  <si>
    <t>17 09 02*</t>
  </si>
  <si>
    <t>17 09 03*</t>
  </si>
  <si>
    <t>17 09 04</t>
  </si>
  <si>
    <t>18 01 01</t>
  </si>
  <si>
    <t>18 01 02</t>
  </si>
  <si>
    <t>18 01 03*</t>
  </si>
  <si>
    <t>18 01 04</t>
  </si>
  <si>
    <t>18 01 06*</t>
  </si>
  <si>
    <t>18 01 07</t>
  </si>
  <si>
    <t>18 01 08*</t>
  </si>
  <si>
    <t>18 01 09</t>
  </si>
  <si>
    <t>18 01 10*</t>
  </si>
  <si>
    <t>18 02 01</t>
  </si>
  <si>
    <t>18 02 02*</t>
  </si>
  <si>
    <t>18 02 03</t>
  </si>
  <si>
    <t>18 02 05*</t>
  </si>
  <si>
    <t>18 02 06</t>
  </si>
  <si>
    <t>18 02 07*</t>
  </si>
  <si>
    <t>18 02 08</t>
  </si>
  <si>
    <t>19 01 02</t>
  </si>
  <si>
    <t>19 01 05*</t>
  </si>
  <si>
    <t>19 01 06*</t>
  </si>
  <si>
    <t>19 01 07*</t>
  </si>
  <si>
    <t>19 01 10*</t>
  </si>
  <si>
    <t>19 01 11*</t>
  </si>
  <si>
    <t>19 01 12</t>
  </si>
  <si>
    <t>19 01 13*</t>
  </si>
  <si>
    <t>19 01 14</t>
  </si>
  <si>
    <t>19 01 15*</t>
  </si>
  <si>
    <t>19 01 16</t>
  </si>
  <si>
    <t>19 01 17*</t>
  </si>
  <si>
    <t>19 01 18</t>
  </si>
  <si>
    <t>19 01 19</t>
  </si>
  <si>
    <t>19 01 99</t>
  </si>
  <si>
    <t>19 02 03</t>
  </si>
  <si>
    <t>19 02 04*</t>
  </si>
  <si>
    <t>19 02 05*</t>
  </si>
  <si>
    <t>19 02 06</t>
  </si>
  <si>
    <t>19 02 07*</t>
  </si>
  <si>
    <t>19 02 08*</t>
  </si>
  <si>
    <t>19 02 09*</t>
  </si>
  <si>
    <t>19 02 10</t>
  </si>
  <si>
    <t>19 02 11*</t>
  </si>
  <si>
    <t>19 02 99</t>
  </si>
  <si>
    <t>19 03 04*</t>
  </si>
  <si>
    <t>19 03 05</t>
  </si>
  <si>
    <t>19 03 06*</t>
  </si>
  <si>
    <t>19 03 07</t>
  </si>
  <si>
    <t>19 03 08*</t>
  </si>
  <si>
    <t>19 04 01</t>
  </si>
  <si>
    <t>19 04 02*</t>
  </si>
  <si>
    <t>19 04 03*</t>
  </si>
  <si>
    <t>19 04 04</t>
  </si>
  <si>
    <t>19 05 01</t>
  </si>
  <si>
    <t>19 05 02</t>
  </si>
  <si>
    <t>19 05 03</t>
  </si>
  <si>
    <t>19 05 99</t>
  </si>
  <si>
    <t>19 06 03</t>
  </si>
  <si>
    <t>19 06 04</t>
  </si>
  <si>
    <t>19 06 05</t>
  </si>
  <si>
    <t>19 06 06</t>
  </si>
  <si>
    <t>19 06 99</t>
  </si>
  <si>
    <t>19 07 02*</t>
  </si>
  <si>
    <t>19 07 03</t>
  </si>
  <si>
    <t>19 08 01</t>
  </si>
  <si>
    <t>19 08 02</t>
  </si>
  <si>
    <t>19 08 05</t>
  </si>
  <si>
    <t>19 08 06*</t>
  </si>
  <si>
    <t>19 08 07*</t>
  </si>
  <si>
    <t>19 08 08*</t>
  </si>
  <si>
    <t>19 08 09*</t>
  </si>
  <si>
    <t>19 08 10*</t>
  </si>
  <si>
    <t>19 08 11*</t>
  </si>
  <si>
    <t>19 08 12</t>
  </si>
  <si>
    <t>19 08 13*</t>
  </si>
  <si>
    <t>19 08 14</t>
  </si>
  <si>
    <t>19 08 99</t>
  </si>
  <si>
    <t>19 09 01</t>
  </si>
  <si>
    <t>19 09 02</t>
  </si>
  <si>
    <t>19 09 03</t>
  </si>
  <si>
    <t>19 09 04</t>
  </si>
  <si>
    <t>19 09 05</t>
  </si>
  <si>
    <t>19 09 06</t>
  </si>
  <si>
    <t>19 09 99</t>
  </si>
  <si>
    <t>19 10 01</t>
  </si>
  <si>
    <t>19 10 02</t>
  </si>
  <si>
    <t>19 10 03*</t>
  </si>
  <si>
    <t>19 10 04</t>
  </si>
  <si>
    <t>19 10 05*</t>
  </si>
  <si>
    <t>19 10 06</t>
  </si>
  <si>
    <t>19 11 01*</t>
  </si>
  <si>
    <t>19 11 02*</t>
  </si>
  <si>
    <t>19 11 03*</t>
  </si>
  <si>
    <t>19 11 04*</t>
  </si>
  <si>
    <t>19 11 05*</t>
  </si>
  <si>
    <t>19 11 06</t>
  </si>
  <si>
    <t>19 11 07*</t>
  </si>
  <si>
    <t>19 11 99</t>
  </si>
  <si>
    <t>19 12 01</t>
  </si>
  <si>
    <t>19 12 02</t>
  </si>
  <si>
    <t>19 12 03</t>
  </si>
  <si>
    <t>19 12 04</t>
  </si>
  <si>
    <t>19 12 05</t>
  </si>
  <si>
    <t>19 12 06*</t>
  </si>
  <si>
    <t>19 12 07</t>
  </si>
  <si>
    <t>19 12 08</t>
  </si>
  <si>
    <t>19 12 09</t>
  </si>
  <si>
    <t>19 12 10</t>
  </si>
  <si>
    <t>19 12 11*</t>
  </si>
  <si>
    <t>19 12 12</t>
  </si>
  <si>
    <t>19 13 01*</t>
  </si>
  <si>
    <t>19 13 02</t>
  </si>
  <si>
    <t>19 13 03*</t>
  </si>
  <si>
    <t>19 13 04</t>
  </si>
  <si>
    <t>19 13 05*</t>
  </si>
  <si>
    <t>19 13 06</t>
  </si>
  <si>
    <t>19 13 07*</t>
  </si>
  <si>
    <t>19 13 08</t>
  </si>
  <si>
    <t>20 01 01</t>
  </si>
  <si>
    <t>20 01 02</t>
  </si>
  <si>
    <t>20 01 08</t>
  </si>
  <si>
    <t>20 01 10</t>
  </si>
  <si>
    <t>20 01 11</t>
  </si>
  <si>
    <t>20 01 13*</t>
  </si>
  <si>
    <t>20 01 14*</t>
  </si>
  <si>
    <t>20 01 15*</t>
  </si>
  <si>
    <t>20 01 17*</t>
  </si>
  <si>
    <t>20 01 19*</t>
  </si>
  <si>
    <t>20 01 21*</t>
  </si>
  <si>
    <t>20 01 23*</t>
  </si>
  <si>
    <t>20 01 25</t>
  </si>
  <si>
    <t>20 01 26*</t>
  </si>
  <si>
    <t>20 01 27*</t>
  </si>
  <si>
    <t>20 01 28</t>
  </si>
  <si>
    <t>20 01 29*</t>
  </si>
  <si>
    <t>20 01 30</t>
  </si>
  <si>
    <t>20 01 31*</t>
  </si>
  <si>
    <t>20 01 32</t>
  </si>
  <si>
    <t>20 01 33*</t>
  </si>
  <si>
    <t>20 01 34</t>
  </si>
  <si>
    <t>20 01 35*</t>
  </si>
  <si>
    <t>20 01 36</t>
  </si>
  <si>
    <t>20 01 37*</t>
  </si>
  <si>
    <t>20 01 38</t>
  </si>
  <si>
    <t>20 01 39</t>
  </si>
  <si>
    <t>20 01 40</t>
  </si>
  <si>
    <t>20 01 41</t>
  </si>
  <si>
    <t>20 01 99</t>
  </si>
  <si>
    <t>20 02 01</t>
  </si>
  <si>
    <t>20 02 02</t>
  </si>
  <si>
    <t>20 02 03</t>
  </si>
  <si>
    <t>20 03 01</t>
  </si>
  <si>
    <t>20 03 02</t>
  </si>
  <si>
    <t>20 03 03</t>
  </si>
  <si>
    <t>20 03 04</t>
  </si>
  <si>
    <t>20 03 06</t>
  </si>
  <si>
    <t>20 03 07</t>
  </si>
  <si>
    <t>20 03 99</t>
  </si>
  <si>
    <t>Cust &amp; Site</t>
  </si>
  <si>
    <t>Cust Site</t>
  </si>
  <si>
    <t>Address</t>
  </si>
  <si>
    <t>500 Tennessee Waltz Parkway</t>
  </si>
  <si>
    <t>Charlotte</t>
  </si>
  <si>
    <t>4302 Raleigh Street</t>
  </si>
  <si>
    <t>El Paso</t>
  </si>
  <si>
    <t>1270 Don Haskins Dr. Suite A</t>
  </si>
  <si>
    <t>Johnson City</t>
  </si>
  <si>
    <t>1100 E Fairview Ave</t>
  </si>
  <si>
    <t>McBee</t>
  </si>
  <si>
    <t>25589 Highway 1</t>
  </si>
  <si>
    <t>Vendor ID</t>
  </si>
  <si>
    <t>Vendor Name</t>
  </si>
  <si>
    <t>Status</t>
  </si>
  <si>
    <t>DBE</t>
  </si>
  <si>
    <t>Commodities (1)</t>
  </si>
  <si>
    <t>Commodities (2)</t>
  </si>
  <si>
    <t>Risk Level</t>
  </si>
  <si>
    <t>Supplier Form</t>
  </si>
  <si>
    <t>Date Entered</t>
  </si>
  <si>
    <t>Date Reviewed</t>
  </si>
  <si>
    <t>Expiration Date</t>
  </si>
  <si>
    <t>Reviewed</t>
  </si>
  <si>
    <t>Vendor Status</t>
  </si>
  <si>
    <t>BAVA00</t>
  </si>
  <si>
    <t>BAVARIAN WASTE SERVICES</t>
  </si>
  <si>
    <t>Complete</t>
  </si>
  <si>
    <t/>
  </si>
  <si>
    <t>Disposal</t>
  </si>
  <si>
    <t>Level 2 - Medium</t>
  </si>
  <si>
    <t>Supplier Pre-Qualification</t>
  </si>
  <si>
    <t>C. King</t>
  </si>
  <si>
    <t>Active</t>
  </si>
  <si>
    <t>BFIL01</t>
  </si>
  <si>
    <t>BFI LORAIN COUNTY LANDFILL</t>
  </si>
  <si>
    <t>Level 1 - High</t>
  </si>
  <si>
    <t>Certificate of Insurance</t>
  </si>
  <si>
    <t>K. Hollins</t>
  </si>
  <si>
    <t>BREN00</t>
  </si>
  <si>
    <t>BRENT RUN LANDFILL</t>
  </si>
  <si>
    <t>CARL00</t>
  </si>
  <si>
    <t>CARLETON FARMS LANDFILL</t>
  </si>
  <si>
    <t>CITI00</t>
  </si>
  <si>
    <t>CITIZENS LANDFILL - 238</t>
  </si>
  <si>
    <t>ELIT04</t>
  </si>
  <si>
    <t>ELITE SUSTAINABILITY SOLUTIONS INC</t>
  </si>
  <si>
    <t>W9</t>
  </si>
  <si>
    <t>GROE00</t>
  </si>
  <si>
    <t>REPUBLIC SERVICES #721, 770, 719</t>
  </si>
  <si>
    <t>ITAS00</t>
  </si>
  <si>
    <t>REPUBLIC SERVICES - ITASCA LANDFILL</t>
  </si>
  <si>
    <t>Supplier Site Evaluation</t>
  </si>
  <si>
    <t>J. Hamill</t>
  </si>
  <si>
    <t>NEWT00</t>
  </si>
  <si>
    <t>NEWTON COUNTY LANDFILL</t>
  </si>
  <si>
    <t>OAKL05</t>
  </si>
  <si>
    <t>OAKLAND HEIGHTS DEVELOPMENT</t>
  </si>
  <si>
    <t>ONTA01</t>
  </si>
  <si>
    <t>ONTARIO MUNICIPAL UTILITIES COMPANY</t>
  </si>
  <si>
    <t>PITT00</t>
  </si>
  <si>
    <t>REPUBLIC SERVICES - PITTSBURG COUNTY LANDFILL INC</t>
  </si>
  <si>
    <t>RIVE01</t>
  </si>
  <si>
    <t>RIVERVIEW MATERIALS, INC.</t>
  </si>
  <si>
    <t>SAUK00</t>
  </si>
  <si>
    <t>SAUK TRAIL HILLS LANDFILL -242</t>
  </si>
  <si>
    <t>SCRA00</t>
  </si>
  <si>
    <t>SCRAPCOM, INC.</t>
  </si>
  <si>
    <t>SKBE00</t>
  </si>
  <si>
    <t>SKB Environmental (WASTE CON.)</t>
  </si>
  <si>
    <t>SOUT22</t>
  </si>
  <si>
    <t>SOUTHERN OKLAHOMA REGIONAL DISPOSAL</t>
  </si>
  <si>
    <t>TOLE00</t>
  </si>
  <si>
    <t>TOLEDO WATER CONDITIONING</t>
  </si>
  <si>
    <t>TURK00</t>
  </si>
  <si>
    <t>TURKEY CREEK LANDFILL</t>
  </si>
  <si>
    <t>VIEN00</t>
  </si>
  <si>
    <t>VIENNA JUNCTION LF</t>
  </si>
  <si>
    <t>WAST103</t>
  </si>
  <si>
    <t>WASTE MANAGEMENT CLEARVIEW LANDFILL</t>
  </si>
  <si>
    <t>WAST104</t>
  </si>
  <si>
    <t>WASTE MANAGEMENT OF IOWA</t>
  </si>
  <si>
    <t>WAST27</t>
  </si>
  <si>
    <t>WASTE MANAGEMENT OF MISSOURI, INC</t>
  </si>
  <si>
    <t>WAST95</t>
  </si>
  <si>
    <t>WASTE MANAGEMENT - OAKRIDGE LANDFILL INC.</t>
  </si>
  <si>
    <t>WATE01</t>
  </si>
  <si>
    <t>REWORLD WASTE, LLC FKA WATER INTEGRATED TREATMENT</t>
  </si>
  <si>
    <t>META00</t>
  </si>
  <si>
    <t>METALWORKING LUBRICANTS CO.</t>
  </si>
  <si>
    <t>Incomplete</t>
  </si>
  <si>
    <t>Temporary</t>
  </si>
  <si>
    <t>ANNA22</t>
  </si>
  <si>
    <t>CITY OF ANN ARBOR</t>
  </si>
  <si>
    <t>Consultants/Professional</t>
  </si>
  <si>
    <t>Level 3 - Low</t>
  </si>
  <si>
    <t>COVA00</t>
  </si>
  <si>
    <t>REWORLD SOLUTIONS LLC FKA COVANTA ENVIRONMENTAL SOL</t>
  </si>
  <si>
    <t>BOYA00</t>
  </si>
  <si>
    <t>BOYAS EXCAVATING</t>
  </si>
  <si>
    <t>Processing</t>
  </si>
  <si>
    <t>CHIC00</t>
  </si>
  <si>
    <t>CHICAGO RAIL &amp; PORT, LLC</t>
  </si>
  <si>
    <t>ENVI65</t>
  </si>
  <si>
    <t>ENVITA SOLUTIONS LLC</t>
  </si>
  <si>
    <t>J. Plancon</t>
  </si>
  <si>
    <t>PARA00</t>
  </si>
  <si>
    <t>PARALLEL PRODUCTS</t>
  </si>
  <si>
    <t>ALLI05</t>
  </si>
  <si>
    <t>REPUBLIC SERVICES #241</t>
  </si>
  <si>
    <t>Transport</t>
  </si>
  <si>
    <t>BEAV00</t>
  </si>
  <si>
    <t>BEAVER OIL CO. INC.</t>
  </si>
  <si>
    <t>DIRE00</t>
  </si>
  <si>
    <t>DIRECT SHRED LLC</t>
  </si>
  <si>
    <t>GIPP00</t>
  </si>
  <si>
    <t>GIP PAVING INC.</t>
  </si>
  <si>
    <t>Supplier Commitment Policy</t>
  </si>
  <si>
    <t>HERI05</t>
  </si>
  <si>
    <t>HERITAGE ENVIRONMENTAL SVC.LLC</t>
  </si>
  <si>
    <t>LONE00</t>
  </si>
  <si>
    <t>LONEWOLF PETROLEUM CO.</t>
  </si>
  <si>
    <t>MILL08</t>
  </si>
  <si>
    <t>MILLENIUM RECYCLING, INC.</t>
  </si>
  <si>
    <t>MLCH00</t>
  </si>
  <si>
    <t>ML CHARTIER INC.</t>
  </si>
  <si>
    <t>RECY14</t>
  </si>
  <si>
    <t>RECYCLING ALLIANCE LTD</t>
  </si>
  <si>
    <t>REPU06</t>
  </si>
  <si>
    <t>REPUBLIC SERVICES #620,#902 #794, #615</t>
  </si>
  <si>
    <t>REPU07</t>
  </si>
  <si>
    <t>REPUBLIC SERVICES #091</t>
  </si>
  <si>
    <t>REPU10</t>
  </si>
  <si>
    <t>REPUBLIC SERVICES #923</t>
  </si>
  <si>
    <t>REPU12</t>
  </si>
  <si>
    <t>REPUBLIC SERVICES #070</t>
  </si>
  <si>
    <t>REPU50</t>
  </si>
  <si>
    <t>REPUBLIC SERVICES #633</t>
  </si>
  <si>
    <t>REPU51</t>
  </si>
  <si>
    <t>REPUBLIC SERVICES #802</t>
  </si>
  <si>
    <t>REPU52</t>
  </si>
  <si>
    <t>REPUBLIC SERVICES #393</t>
  </si>
  <si>
    <t>REPU54</t>
  </si>
  <si>
    <t>REPUBLIC SERVICES #346</t>
  </si>
  <si>
    <t>REPU55</t>
  </si>
  <si>
    <t>REPUBLIC SERVICES #732</t>
  </si>
  <si>
    <t>REPU56</t>
  </si>
  <si>
    <t>REPUBLIC SERVICES #986</t>
  </si>
  <si>
    <t>REPU58</t>
  </si>
  <si>
    <t>REPUBLIC SERVICES #394</t>
  </si>
  <si>
    <t>REPU77</t>
  </si>
  <si>
    <t>REPUBLIC SERVICES, INC.</t>
  </si>
  <si>
    <t>ROSW05</t>
  </si>
  <si>
    <t>CITY OF ROSWELL</t>
  </si>
  <si>
    <t>RUMP00</t>
  </si>
  <si>
    <t>RUMPKE</t>
  </si>
  <si>
    <t>SAFE00</t>
  </si>
  <si>
    <t>SAFETY KLEEN CORP</t>
  </si>
  <si>
    <t>SAFE01</t>
  </si>
  <si>
    <t>SAFETY-KLEEN CANADA INC</t>
  </si>
  <si>
    <t>SETE00</t>
  </si>
  <si>
    <t>SET ENVIRONMENTAL INC.</t>
  </si>
  <si>
    <t>TRAN02</t>
  </si>
  <si>
    <t>REWORLD WASTE LLC FKA COVANTA ENERGY LLC</t>
  </si>
  <si>
    <t>TRAS00</t>
  </si>
  <si>
    <t>TRASHCO LTD</t>
  </si>
  <si>
    <t>TWIN01</t>
  </si>
  <si>
    <t>WM OF INDIANA DBA TWIN BRIDGES LANDFILL</t>
  </si>
  <si>
    <t>UPAK00</t>
  </si>
  <si>
    <t>U-PAK DISPOSALS LIMITED, et.al.</t>
  </si>
  <si>
    <t>USIN01</t>
  </si>
  <si>
    <t>U.S. INDUSTRIAL TECHNOLOGIESI</t>
  </si>
  <si>
    <t>USWA00</t>
  </si>
  <si>
    <t>US WASTE INDUSTRIES INC.</t>
  </si>
  <si>
    <t>WABA00</t>
  </si>
  <si>
    <t>REPUBLIC SERVICES  #684</t>
  </si>
  <si>
    <t>WALK05</t>
  </si>
  <si>
    <t>WALKER COUNTY SOLID WASTE DEPARTMENT</t>
  </si>
  <si>
    <t>WAST08</t>
  </si>
  <si>
    <t>WASTE MANAGEMENT</t>
  </si>
  <si>
    <t>WAST09</t>
  </si>
  <si>
    <t>WASTE MANAGEMENT OF MICHIGAN</t>
  </si>
  <si>
    <t>WAST102</t>
  </si>
  <si>
    <t>WASTE MANAGEMENT OF ALABAMA</t>
  </si>
  <si>
    <t>WAST12</t>
  </si>
  <si>
    <t>WASTE MANAGEMENT OF IL/IN</t>
  </si>
  <si>
    <t>WAST123</t>
  </si>
  <si>
    <t>QUEEN CITY DISPOSAL (WASTE CONNECTIONS CO)</t>
  </si>
  <si>
    <t>WAST17</t>
  </si>
  <si>
    <t>WASTE CONNECTIONS OF FLORIDA</t>
  </si>
  <si>
    <t>WAST58</t>
  </si>
  <si>
    <t>WASTE MANAGEMENT OF DENVER</t>
  </si>
  <si>
    <t>WAST61</t>
  </si>
  <si>
    <t>WASTE MANAGEMENT OF NEVADA</t>
  </si>
  <si>
    <t>WAST69</t>
  </si>
  <si>
    <t>WASTE MANAGEMENT OF GREATER CHARLOTTE</t>
  </si>
  <si>
    <t>WAST73</t>
  </si>
  <si>
    <t>WASTE MANAGEMENT OF OHIO INC.-SP</t>
  </si>
  <si>
    <t>WAST97</t>
  </si>
  <si>
    <t>WASTE MANAGEMENT LOUISVILLE</t>
  </si>
  <si>
    <t>WAST98</t>
  </si>
  <si>
    <t>WASTE MANAGEMENT OF WI-MN</t>
  </si>
  <si>
    <t>WAST99</t>
  </si>
  <si>
    <t>WASTE MANAGEMENT OF CALIFORNIA</t>
  </si>
  <si>
    <t>ADVA19</t>
  </si>
  <si>
    <t>ADVANCED DISPOSAL SERVICES-T6</t>
  </si>
  <si>
    <t>ADVA21</t>
  </si>
  <si>
    <t>ADVANCED DISPOSAL V3-SOLID WASTE MIDWEST LLC</t>
  </si>
  <si>
    <t>SYST00</t>
  </si>
  <si>
    <t>SYSTECH ENVIRONMENTAL CORP.</t>
  </si>
  <si>
    <t>IRON00</t>
  </si>
  <si>
    <t>IRON MOUNTAIN - CALIFORNIA</t>
  </si>
  <si>
    <t>Equipment Rental</t>
  </si>
  <si>
    <t>GAGE00</t>
  </si>
  <si>
    <t>GAGE PRODUCTS COMPANY</t>
  </si>
  <si>
    <t>IRON02</t>
  </si>
  <si>
    <t>IRON MOUNTAIN, INC.</t>
  </si>
  <si>
    <t>IRON04</t>
  </si>
  <si>
    <t>IRON MOUNTAIN - TEXAS</t>
  </si>
  <si>
    <t>BLUE04</t>
  </si>
  <si>
    <t>BLUE TANK AND PUMP RENTAL, LLC</t>
  </si>
  <si>
    <t>CJOH00</t>
  </si>
  <si>
    <t>C. JOHNNIE ON THE SPOT PORTABLE TOILETS INC.</t>
  </si>
  <si>
    <t>COOL00</t>
  </si>
  <si>
    <t>COOLEY PUMPING LLC</t>
  </si>
  <si>
    <t>DUMA01</t>
  </si>
  <si>
    <t>DUMAS PUMPING SERVICE</t>
  </si>
  <si>
    <t>EVER02</t>
  </si>
  <si>
    <t>MOBILE MINI TANK AND PUMP SOLUTIONS INC</t>
  </si>
  <si>
    <t>JOTS00</t>
  </si>
  <si>
    <t>JOTS RENTALS LLC</t>
  </si>
  <si>
    <t>MERS00</t>
  </si>
  <si>
    <t>MERSINO DEWATERING, INC.</t>
  </si>
  <si>
    <t>MOFF01</t>
  </si>
  <si>
    <t>MOFFITT SITE SERVICES, LLC</t>
  </si>
  <si>
    <t>R&amp;RC00</t>
  </si>
  <si>
    <t>R &amp; R CONTRACTING SERVICES INC</t>
  </si>
  <si>
    <t>RAIN00</t>
  </si>
  <si>
    <t>RAIN FOR RENT</t>
  </si>
  <si>
    <t>RUNC00</t>
  </si>
  <si>
    <t>RUNCO WASTE INDUSTRIES</t>
  </si>
  <si>
    <t>SCOT02</t>
  </si>
  <si>
    <t>SCOTTY'S POTTIES</t>
  </si>
  <si>
    <t>UNIF02</t>
  </si>
  <si>
    <t>UNIFIRST CORPORATION #088</t>
  </si>
  <si>
    <t>WAST04</t>
  </si>
  <si>
    <t>WASTE NOW RESTROOMS AND DUMPSTERS</t>
  </si>
  <si>
    <t>CALL02</t>
  </si>
  <si>
    <t>CALL 2 RECYCLE, INC.</t>
  </si>
  <si>
    <t>EAGL04</t>
  </si>
  <si>
    <t>EAGLE ENVIRONMENTAL</t>
  </si>
  <si>
    <t>ENTE01</t>
  </si>
  <si>
    <t>ENTECH INC.</t>
  </si>
  <si>
    <t>ENVI08</t>
  </si>
  <si>
    <t>ENVIRONMENTAL WOOD SOLUTIONS III, LLC</t>
  </si>
  <si>
    <t>GFLE03</t>
  </si>
  <si>
    <t>GFL ENVIRONMENTAL RECYCLING SERVICES LLC</t>
  </si>
  <si>
    <t>HUFF00</t>
  </si>
  <si>
    <t>HUFFMAN RUBBER INC</t>
  </si>
  <si>
    <t>MIAM00</t>
  </si>
  <si>
    <t>MIAMI HILLS INC DBA CRUSHR CINCINNATI</t>
  </si>
  <si>
    <t>RECY15</t>
  </si>
  <si>
    <t>RECYCLEFORCE INC</t>
  </si>
  <si>
    <t>ROYA02</t>
  </si>
  <si>
    <t>ROYAL PAPER STOCK CO., INC.</t>
  </si>
  <si>
    <t>STRA04</t>
  </si>
  <si>
    <t>STRATEGIC MATERIALS, INC.</t>
  </si>
  <si>
    <t>TIRE00</t>
  </si>
  <si>
    <t>TIRE SHREDDING &amp; RECYCLING INC.</t>
  </si>
  <si>
    <t>VEOL10</t>
  </si>
  <si>
    <t>Veolia ES Technical Solutions</t>
  </si>
  <si>
    <t>WIGB00</t>
  </si>
  <si>
    <t>WIGBOLDY MATERIALS INC.</t>
  </si>
  <si>
    <t>SOUT09</t>
  </si>
  <si>
    <t>SOUTHEAST RECYCLING TECH., INC.</t>
  </si>
  <si>
    <t>ABED00</t>
  </si>
  <si>
    <t>ABEDNEGO ENVIRONMENTAL SERVICES LLC.</t>
  </si>
  <si>
    <t>ARRE01</t>
  </si>
  <si>
    <t>AR RECYCLING, LLC</t>
  </si>
  <si>
    <t>HAMT00</t>
  </si>
  <si>
    <t>HAMTRAMCK RECYCLING LLC</t>
  </si>
  <si>
    <t>WHOL00</t>
  </si>
  <si>
    <t>WHOLE EARTH COMPOST, LLC.</t>
  </si>
  <si>
    <t>STER03</t>
  </si>
  <si>
    <t>STERICYCLE F/K/A SHRED-IT</t>
  </si>
  <si>
    <t>BUZZ02</t>
  </si>
  <si>
    <t>BUZZI UNICEM USA-CAPE GIRARDEAU PLANT</t>
  </si>
  <si>
    <t>QUAN00</t>
  </si>
  <si>
    <t>QUANTA CONTAINERS LLC</t>
  </si>
  <si>
    <t>Supplies/Consumables/PPE</t>
  </si>
  <si>
    <t>APOL01</t>
  </si>
  <si>
    <t>APOLLO WOOD RECOVERY, INC.</t>
  </si>
  <si>
    <t>CHEM06</t>
  </si>
  <si>
    <t>REWORLD TRON CORP F/K/A CHEMTRON CORPORATION</t>
  </si>
  <si>
    <t>CITY05</t>
  </si>
  <si>
    <t>CITY PALLETS INC.</t>
  </si>
  <si>
    <t>CYCL02</t>
  </si>
  <si>
    <t>CYCLYX INTERNATIONAL, LLC</t>
  </si>
  <si>
    <t>EDSP00</t>
  </si>
  <si>
    <t>ED'S PALLET WORLD INC.</t>
  </si>
  <si>
    <t>ENVI40</t>
  </si>
  <si>
    <t>ENVIROSOLIDS LLC</t>
  </si>
  <si>
    <t>GMRG00</t>
  </si>
  <si>
    <t>GMR GLOBE METAL RECYCLING SERVICES, INC.</t>
  </si>
  <si>
    <t>INDU11</t>
  </si>
  <si>
    <t>INDUSTRIAL PALLET CORP</t>
  </si>
  <si>
    <t>J&amp;LW00</t>
  </si>
  <si>
    <t>J &amp; L WOOD PRODUCTS INC</t>
  </si>
  <si>
    <t>LICY00</t>
  </si>
  <si>
    <t>LI-CYCLE CORP</t>
  </si>
  <si>
    <t>MOLE00</t>
  </si>
  <si>
    <t>GT WASTE SERVICES, INC D/B/A MOLER SANITATION</t>
  </si>
  <si>
    <t>NATI01</t>
  </si>
  <si>
    <t>NATIONAL CONTAINER GROUP, LLC (MAUSER)</t>
  </si>
  <si>
    <t>NEXC00</t>
  </si>
  <si>
    <t>NEXCYCLE INDUSTRIES</t>
  </si>
  <si>
    <t>NEXT07</t>
  </si>
  <si>
    <t>NEXTILES LLC</t>
  </si>
  <si>
    <t>NEXU00</t>
  </si>
  <si>
    <t>NEXUS CIRCULAR</t>
  </si>
  <si>
    <t>NORT00</t>
  </si>
  <si>
    <t>NORTH CENTRAL PALLETS INC</t>
  </si>
  <si>
    <t>OBRY00</t>
  </si>
  <si>
    <t>O'BRYAN BARREL CO. INC.</t>
  </si>
  <si>
    <t>OTTO01</t>
  </si>
  <si>
    <t>DURAMAX HOLDING LLC DBA OTTO ENVIRONMENTAL SYSTEMS</t>
  </si>
  <si>
    <t>PALL01</t>
  </si>
  <si>
    <t>PALLET MANAGEMENT GROUP, INC.</t>
  </si>
  <si>
    <t>PAPE00</t>
  </si>
  <si>
    <t>PAPER RECYCLING &amp; SHREDDING SPECIALISTS, INC.</t>
  </si>
  <si>
    <t>PLAN06</t>
  </si>
  <si>
    <t>MINUS WASTE SOLUTIONS (FKA) PLANET EARTH RECYCLING</t>
  </si>
  <si>
    <t>PRAT00</t>
  </si>
  <si>
    <t>PRATT RECYCLING INC</t>
  </si>
  <si>
    <t>SHRE09</t>
  </si>
  <si>
    <t>SHREDCORP</t>
  </si>
  <si>
    <t>VEXO00</t>
  </si>
  <si>
    <t>VEXOR TECHNOLOGY LLC</t>
  </si>
  <si>
    <t>WEST04</t>
  </si>
  <si>
    <t>WEST ROCK CP, LLC</t>
  </si>
  <si>
    <t>SILV00</t>
  </si>
  <si>
    <t>SILVER LINING TIRE RECYCLING</t>
  </si>
  <si>
    <t>AGAS00</t>
  </si>
  <si>
    <t>A-GAS US INC DBA RAPID RECOVERY</t>
  </si>
  <si>
    <t>Repairs/Maintenance</t>
  </si>
  <si>
    <t>DUBO01</t>
  </si>
  <si>
    <t>DUBOIS CHEMICALS, INC.</t>
  </si>
  <si>
    <t>EMER04</t>
  </si>
  <si>
    <t>EMERGENCY FLEET SERVICE</t>
  </si>
  <si>
    <t>SAND04</t>
  </si>
  <si>
    <t>SANDY'S AUTO &amp; TRUCK SERVICE</t>
  </si>
  <si>
    <t>ENVI04</t>
  </si>
  <si>
    <t>ENVIRONMENTAL WORKS, INC.</t>
  </si>
  <si>
    <t>Subcontracting</t>
  </si>
  <si>
    <t>OHIO20</t>
  </si>
  <si>
    <t>OHIO CONTAINER SERVICES LLC</t>
  </si>
  <si>
    <t>CALV00</t>
  </si>
  <si>
    <t>CALVARY INDUSTRIES, INC.</t>
  </si>
  <si>
    <t>LENN00</t>
  </si>
  <si>
    <t>LENNOX DRUM LIMITED</t>
  </si>
  <si>
    <t>LIBR00</t>
  </si>
  <si>
    <t>LIBRA INDUSTRIES INC. OF MI</t>
  </si>
  <si>
    <t>METR14</t>
  </si>
  <si>
    <t>METRO WELDING SUPPLY INC.</t>
  </si>
  <si>
    <t>MEYE00</t>
  </si>
  <si>
    <t>MEYER INDUSTRIAL CONTAINER LLC</t>
  </si>
  <si>
    <t>UPPE00</t>
  </si>
  <si>
    <t>UPPER CANADA FUELS LIMITED</t>
  </si>
  <si>
    <t>WORL03</t>
  </si>
  <si>
    <t>WORLD FUEL SERVICES, INC.</t>
  </si>
  <si>
    <t>ADRO00</t>
  </si>
  <si>
    <t>ANDREW D ROSATI</t>
  </si>
  <si>
    <t>AGEM00</t>
  </si>
  <si>
    <t>AGEMA ENVIRONMENTAL CONSULTING LLC</t>
  </si>
  <si>
    <t>ARCH00</t>
  </si>
  <si>
    <t>ARCH ENVIRONMENTAL GROUP INC</t>
  </si>
  <si>
    <t>BEHR01</t>
  </si>
  <si>
    <t>BEHRMAN ROLLOFFS LLC</t>
  </si>
  <si>
    <t>BISO00</t>
  </si>
  <si>
    <t>BISON TRANSPORT USA</t>
  </si>
  <si>
    <t>CARR00</t>
  </si>
  <si>
    <t>CARRIERHAWK LLC</t>
  </si>
  <si>
    <t>DINO00</t>
  </si>
  <si>
    <t>DINOSAUR TRUCKING INC</t>
  </si>
  <si>
    <t>GFLE00</t>
  </si>
  <si>
    <t>GFL ENVIRONMENTAL, INC. (CANADA)</t>
  </si>
  <si>
    <t>HANS01</t>
  </si>
  <si>
    <t>HANSEL WRECKING DBA LOGAN CREEK LLC</t>
  </si>
  <si>
    <t>HARV00</t>
  </si>
  <si>
    <t>HARVARD LOGISTICS, LLC</t>
  </si>
  <si>
    <t>HERI04</t>
  </si>
  <si>
    <t>HERITAGE CRYSTAL CLEAN LLC</t>
  </si>
  <si>
    <t>HIGH02</t>
  </si>
  <si>
    <t>HIGHTOWERS PETROLEUM CO.</t>
  </si>
  <si>
    <t>HOFF00</t>
  </si>
  <si>
    <t>HOFFMAN SANITATION</t>
  </si>
  <si>
    <t>INTE04</t>
  </si>
  <si>
    <t>INTERSTATE WASTE SERVICES, INC. FKA DONATO MARANGI</t>
  </si>
  <si>
    <t>KLUM00</t>
  </si>
  <si>
    <t>KLUMM BROS</t>
  </si>
  <si>
    <t>LAND00</t>
  </si>
  <si>
    <t>LANDSTAR INWAY INC.</t>
  </si>
  <si>
    <t>MODE00</t>
  </si>
  <si>
    <t>MODERN WASTE SYSTEMS, INC.</t>
  </si>
  <si>
    <t>RECY11</t>
  </si>
  <si>
    <t>RECYCLE WASTE SERVICES INC</t>
  </si>
  <si>
    <t>REDB00</t>
  </si>
  <si>
    <t>REDBANK TRANSPORT INC</t>
  </si>
  <si>
    <t>REIL00</t>
  </si>
  <si>
    <t>REILLEY TRUCKING INC.</t>
  </si>
  <si>
    <t>SCTR00</t>
  </si>
  <si>
    <t>S &amp; C TRANSPORT INC</t>
  </si>
  <si>
    <t>STAN07</t>
  </si>
  <si>
    <t>STANPHILL SANITATION LLC</t>
  </si>
  <si>
    <t>STAT43</t>
  </si>
  <si>
    <t>STATE CRUSHING INC</t>
  </si>
  <si>
    <t>STCH00</t>
  </si>
  <si>
    <t>ST CHARLES YELLOW CAB</t>
  </si>
  <si>
    <t>STON03</t>
  </si>
  <si>
    <t>STONE TRANSPORT, LP</t>
  </si>
  <si>
    <t>UNIT03</t>
  </si>
  <si>
    <t>UNITED PUMPING SERVICE, INC.</t>
  </si>
  <si>
    <t>WABA01</t>
  </si>
  <si>
    <t>WABASH VALLEY LANDFILL</t>
  </si>
  <si>
    <t>WORL02</t>
  </si>
  <si>
    <t>WORLDWIDE EXPRESS (AIR EXPRESS OF MI)</t>
  </si>
  <si>
    <t>C&amp;DD00</t>
  </si>
  <si>
    <t>C&amp;D DISPOSAL</t>
  </si>
  <si>
    <t>ISIL00</t>
  </si>
  <si>
    <t>ISI LOGISTICS, LLC</t>
  </si>
  <si>
    <t>MARA00</t>
  </si>
  <si>
    <t>DONATO MARANGI, INC.</t>
  </si>
  <si>
    <t>GOCH00</t>
  </si>
  <si>
    <t>GOCH &amp; SONS TOWING INC</t>
  </si>
  <si>
    <t>YOUN01</t>
  </si>
  <si>
    <t>YOUNG'S ENVIRONMENTAL CLEANUP</t>
  </si>
  <si>
    <t>ABSO00</t>
  </si>
  <si>
    <t>ABSOLUTE WASTE REMOVAL</t>
  </si>
  <si>
    <t>ALLI10</t>
  </si>
  <si>
    <t>REPUBLIC SERVICES #259</t>
  </si>
  <si>
    <t>ALLI15</t>
  </si>
  <si>
    <t>REPUBLIC SERVICES #823</t>
  </si>
  <si>
    <t>ALLI17</t>
  </si>
  <si>
    <t>REPUBLIC SERVICES #224</t>
  </si>
  <si>
    <t>ALLI19</t>
  </si>
  <si>
    <t>REPUBLIC SERVICES #753</t>
  </si>
  <si>
    <t>ALLI27</t>
  </si>
  <si>
    <t>REPUBLIC SERVICES #924</t>
  </si>
  <si>
    <t>ALLI29</t>
  </si>
  <si>
    <t>REPUBLIC SERVICES #535</t>
  </si>
  <si>
    <t>ALLI30</t>
  </si>
  <si>
    <t>REPUBLIC SERVICES #820</t>
  </si>
  <si>
    <t>ALLI32</t>
  </si>
  <si>
    <t>REPUBLIC SERVICES #841</t>
  </si>
  <si>
    <t>ALLI33</t>
  </si>
  <si>
    <t>REPUBLIC SERVICES  #324</t>
  </si>
  <si>
    <t>ALLI68</t>
  </si>
  <si>
    <t>REPUBLIC SERVICES #868</t>
  </si>
  <si>
    <t>ANYT00</t>
  </si>
  <si>
    <t>ANYTIME WASTE SYSTEMS</t>
  </si>
  <si>
    <t>ATHE00</t>
  </si>
  <si>
    <t>ATHENS SERVICES/ARAKELIAN ENT, INC</t>
  </si>
  <si>
    <t>AWTN00</t>
  </si>
  <si>
    <t>AWT NORTH AMERICA, LLC</t>
  </si>
  <si>
    <t>Supplier Safety Questionnaire</t>
  </si>
  <si>
    <t>D. Warford</t>
  </si>
  <si>
    <t>BADG00</t>
  </si>
  <si>
    <t>BADGER DAYLIGHTING CORP</t>
  </si>
  <si>
    <t>BERT00</t>
  </si>
  <si>
    <t>BERTOLOTTI DISPOSAL INC.</t>
  </si>
  <si>
    <t>BEST00</t>
  </si>
  <si>
    <t>BEST WAY DISPOSAL</t>
  </si>
  <si>
    <t>BURR02</t>
  </si>
  <si>
    <t>BURRTEC WASTE - RIVERSIDE DIVISION</t>
  </si>
  <si>
    <t>BVRW00</t>
  </si>
  <si>
    <t>BVR WASTE AND RECYCLING</t>
  </si>
  <si>
    <t>CAMP04</t>
  </si>
  <si>
    <t>CAMPO DISPOSAL, INC.</t>
  </si>
  <si>
    <t>CITY03</t>
  </si>
  <si>
    <t>CITY OF MOUNTAIN VIEW / RECOLOGY</t>
  </si>
  <si>
    <t>CITY10</t>
  </si>
  <si>
    <t>CITY OF DURANT</t>
  </si>
  <si>
    <t>CLEA01</t>
  </si>
  <si>
    <t>CLEAN HARBORS ENVIRONMENTAL</t>
  </si>
  <si>
    <t>CLEA02</t>
  </si>
  <si>
    <t>CLEAN EARTH ENVIRONMENTAL SOLUTIONS</t>
  </si>
  <si>
    <t>CLEA15</t>
  </si>
  <si>
    <t>CLEAN WATER ENVIRONMENTAL LLC</t>
  </si>
  <si>
    <t>CONT16</t>
  </si>
  <si>
    <t>CONTI CORPORATION</t>
  </si>
  <si>
    <t>CRIR00</t>
  </si>
  <si>
    <t>CRI ENVIRONMENTAL SOLUTIONS</t>
  </si>
  <si>
    <t>CSIW00</t>
  </si>
  <si>
    <t>REPUBLIC SERVICES #798</t>
  </si>
  <si>
    <t>DALL00</t>
  </si>
  <si>
    <t>DALLAS RECYCLING</t>
  </si>
  <si>
    <t>DAVE00</t>
  </si>
  <si>
    <t>DAVE'S EXCAVATING, INC.</t>
  </si>
  <si>
    <t>DISP02</t>
  </si>
  <si>
    <t>DART ACQUISITIONS LLC</t>
  </si>
  <si>
    <t>DISP03</t>
  </si>
  <si>
    <t>DISPOSALL WASTE SERVICES LLC</t>
  </si>
  <si>
    <t>DOCU01</t>
  </si>
  <si>
    <t>DOCUMENT DESTRUCTION LLC</t>
  </si>
  <si>
    <t>DRUR00</t>
  </si>
  <si>
    <t>DRURY BROTHERS INC.</t>
  </si>
  <si>
    <t>ELIT00</t>
  </si>
  <si>
    <t>ELITE TRAUMA CLEAN-UP</t>
  </si>
  <si>
    <t>ENVI00</t>
  </si>
  <si>
    <t>ERG ENVIRONMENTAL SERVICES</t>
  </si>
  <si>
    <t>ENVI07</t>
  </si>
  <si>
    <t>ENVIRONMENTAL REMEDIES, LLC</t>
  </si>
  <si>
    <t>ENVI31</t>
  </si>
  <si>
    <t>ENVIROSERVE</t>
  </si>
  <si>
    <t>ENVI43</t>
  </si>
  <si>
    <t>ENVIRONMENTAL &amp; DISPOSAL MGMT</t>
  </si>
  <si>
    <t>ENVI60</t>
  </si>
  <si>
    <t>ENVIRO CONNEXIONS</t>
  </si>
  <si>
    <t>EVER00</t>
  </si>
  <si>
    <t>EVERGREEN GREASE SERVICE, INC</t>
  </si>
  <si>
    <t>FLUO00</t>
  </si>
  <si>
    <t>AEVITAS - CANADA</t>
  </si>
  <si>
    <t>FUEL00</t>
  </si>
  <si>
    <t>FUEL SOURCE LLC</t>
  </si>
  <si>
    <t>WBE</t>
  </si>
  <si>
    <t>GFLE01</t>
  </si>
  <si>
    <t>GFL ENVIRONMENTAL SERVICES (BALTIMORE REMIT)</t>
  </si>
  <si>
    <t>GFLE06</t>
  </si>
  <si>
    <t>GFL ENVIRONMENTAL (BALT 2 REMIT TO)</t>
  </si>
  <si>
    <t>GFLE10</t>
  </si>
  <si>
    <t>GFL ENVIRONMENTAL SERVICES - RESOURCE MANAGEMENT</t>
  </si>
  <si>
    <t>GRAN01</t>
  </si>
  <si>
    <t>GRANGER CONTAINER SERVICEINC.</t>
  </si>
  <si>
    <t>GREA02</t>
  </si>
  <si>
    <t>REPUBLIC SERVICES #253</t>
  </si>
  <si>
    <t>GREA12</t>
  </si>
  <si>
    <t>REPUBLIC SERVICES  #237, 241</t>
  </si>
  <si>
    <t>GREE00</t>
  </si>
  <si>
    <t>GREEN ROAD TIRE RECYCLING</t>
  </si>
  <si>
    <t>INSE00</t>
  </si>
  <si>
    <t>INSERV,INC</t>
  </si>
  <si>
    <t>IRON01</t>
  </si>
  <si>
    <t>IRONCLAD ENVIRONMENTAL SOLUTIONS, INC.</t>
  </si>
  <si>
    <t>KIMB00</t>
  </si>
  <si>
    <t>KIMBLE RECYCLING &amp; DISPOSAL, INC.</t>
  </si>
  <si>
    <t>LACE00</t>
  </si>
  <si>
    <t>LACERO SOLUTIONS INC</t>
  </si>
  <si>
    <t>LAME01</t>
  </si>
  <si>
    <t>LAMELA SANITATION SERVICE, INC.</t>
  </si>
  <si>
    <t>LIQU02</t>
  </si>
  <si>
    <t>LIQUID ENVIRONMENTAL SOLUTIONS</t>
  </si>
  <si>
    <t>MCPH00</t>
  </si>
  <si>
    <t>MCPHERSON TRANSFER LTD</t>
  </si>
  <si>
    <t>MERI00</t>
  </si>
  <si>
    <t>MERIDIAN WASTE MISSOURI, LLC</t>
  </si>
  <si>
    <t>MIDW00</t>
  </si>
  <si>
    <t>MIDWEST ENVIRONMENTAL SERVICES INC</t>
  </si>
  <si>
    <t>MILL01</t>
  </si>
  <si>
    <t>MILLER RECYCLING CORPORATION</t>
  </si>
  <si>
    <t>MOBI02</t>
  </si>
  <si>
    <t>MOBILE FLUID RECOVERY INC.</t>
  </si>
  <si>
    <t>NATI33</t>
  </si>
  <si>
    <t>NATIONAL SERV-ALL LANDFILL - 3764</t>
  </si>
  <si>
    <t>ONGW00</t>
  </si>
  <si>
    <t>ONGWEOWEH CORP</t>
  </si>
  <si>
    <t>ONYX00</t>
  </si>
  <si>
    <t>VEOLIA ENVIRONMENTAL SERVICES</t>
  </si>
  <si>
    <t>OSIE00</t>
  </si>
  <si>
    <t>OSI ENVIRONMENTAL INC.</t>
  </si>
  <si>
    <t>PETE00</t>
  </si>
  <si>
    <t>PETE &amp; PETE CONTAINER SERVICE, INC.</t>
  </si>
  <si>
    <t>PHAN00</t>
  </si>
  <si>
    <t>PHANTOM DISPOSAL</t>
  </si>
  <si>
    <t>PNRR00</t>
  </si>
  <si>
    <t>PNR RAILWORKS INC.</t>
  </si>
  <si>
    <t>POLL00</t>
  </si>
  <si>
    <t>TRADEBE ENVIRONMENTAL SERVICES, LLC</t>
  </si>
  <si>
    <t>PROG03</t>
  </si>
  <si>
    <t>WASTE CONNECTIONS OF MISSOURI</t>
  </si>
  <si>
    <t>PROS03</t>
  </si>
  <si>
    <t>PRO STAR WASTE, LLC (WASTE CONNECTIONS)</t>
  </si>
  <si>
    <t>RANC03</t>
  </si>
  <si>
    <t>BURRTEC WASTE - FONTANA DIVISION</t>
  </si>
  <si>
    <t>REPU00</t>
  </si>
  <si>
    <t>REPUBLIC SERVICES #260 #262</t>
  </si>
  <si>
    <t>REPU01</t>
  </si>
  <si>
    <t>REPUBLIC SERVICES #870</t>
  </si>
  <si>
    <t>REPU02</t>
  </si>
  <si>
    <t>REPUBLIC SERVICES #853</t>
  </si>
  <si>
    <t>REPU04</t>
  </si>
  <si>
    <t>REPUBLIC SERVICES  #761, 097, 271,786</t>
  </si>
  <si>
    <t>REPU09</t>
  </si>
  <si>
    <t>REPUBLIC SERVICES #046</t>
  </si>
  <si>
    <t>REPU100</t>
  </si>
  <si>
    <t>REPUBLIC SERVICES</t>
  </si>
  <si>
    <t>REPU13</t>
  </si>
  <si>
    <t>REPUBLIC SERVICES #976</t>
  </si>
  <si>
    <t>REPU14</t>
  </si>
  <si>
    <t>REPUBLIC SERVICES #451</t>
  </si>
  <si>
    <t>REPU15</t>
  </si>
  <si>
    <t>REPUBLIC SERVICES #693</t>
  </si>
  <si>
    <t>REPU17</t>
  </si>
  <si>
    <t>REPUBLIC SERVICES #847</t>
  </si>
  <si>
    <t>REPU18</t>
  </si>
  <si>
    <t>REPUBLIC SERVICES #758</t>
  </si>
  <si>
    <t>REPU19</t>
  </si>
  <si>
    <t>REPUBLIC SERVICES #068</t>
  </si>
  <si>
    <t>REPU21</t>
  </si>
  <si>
    <t>REPUBLIC SERVICES/NATIONAL ACCOUNTS</t>
  </si>
  <si>
    <t>REPU22</t>
  </si>
  <si>
    <t>REPUBLIC SERVICES #856</t>
  </si>
  <si>
    <t>REPU24</t>
  </si>
  <si>
    <t>REPUBLIC SERVICES #808</t>
  </si>
  <si>
    <t>REPU53</t>
  </si>
  <si>
    <t>REPUBLIC SERVICES #468 346</t>
  </si>
  <si>
    <t>REPU61</t>
  </si>
  <si>
    <t>REPUBLIC SERVICES #611</t>
  </si>
  <si>
    <t>REPU62</t>
  </si>
  <si>
    <t>REPUBLIC SERVICES #837</t>
  </si>
  <si>
    <t>REPU65</t>
  </si>
  <si>
    <t>REPUBLIC SERVICES #999</t>
  </si>
  <si>
    <t>REPU68</t>
  </si>
  <si>
    <t>REPUBLIC SERVICES #388</t>
  </si>
  <si>
    <t>REPU73</t>
  </si>
  <si>
    <t>REPUBLIC SERVICES #991</t>
  </si>
  <si>
    <t>REPU74</t>
  </si>
  <si>
    <t>REPUBLIC SERVICES #249</t>
  </si>
  <si>
    <t>REPU75</t>
  </si>
  <si>
    <t>REPUBLIC SERVICES #742</t>
  </si>
  <si>
    <t>ROCK05</t>
  </si>
  <si>
    <t>ROCK RIVER DISPOSAL</t>
  </si>
  <si>
    <t>SESI00</t>
  </si>
  <si>
    <t>SES INC (SUPERIOR ENVIRONMENTAL SOLUTIONS).</t>
  </si>
  <si>
    <t>SHAW01</t>
  </si>
  <si>
    <t>SHAW CONTRACTING CO</t>
  </si>
  <si>
    <t>STER00</t>
  </si>
  <si>
    <t>STERICYCLE INC.-300</t>
  </si>
  <si>
    <t>STER01</t>
  </si>
  <si>
    <t>STERICYCLE INC.-400</t>
  </si>
  <si>
    <t>STER02</t>
  </si>
  <si>
    <t>STERICYCLE INC-100</t>
  </si>
  <si>
    <t>STER11</t>
  </si>
  <si>
    <t>STERICYCLE ULC</t>
  </si>
  <si>
    <t>TARG00</t>
  </si>
  <si>
    <t>TARGET RECYCLING SERVICES INC</t>
  </si>
  <si>
    <t>TASE00</t>
  </si>
  <si>
    <t>TAS ENVIRONMENTAL SERVICES, LP</t>
  </si>
  <si>
    <t>TEAM01</t>
  </si>
  <si>
    <t>TEAM WASTE MEMPHIS LLC (A WASTE CONNECTIONS CO)</t>
  </si>
  <si>
    <t>TEXA05</t>
  </si>
  <si>
    <t>TEXAS COMMERCIAL WASTE</t>
  </si>
  <si>
    <t>THEP00</t>
  </si>
  <si>
    <t>THE PENNOHIO CORPORATION</t>
  </si>
  <si>
    <t>THOM02</t>
  </si>
  <si>
    <t>THOMPSON INDUSTRIAL SERVICES, LLC</t>
  </si>
  <si>
    <t>TITA02</t>
  </si>
  <si>
    <t>TITAN ENVIRONMENTAL SOLUTIONS, INC.</t>
  </si>
  <si>
    <t>TOCO01</t>
  </si>
  <si>
    <t>TOCO, INC. DBA THOMAS OIL COMPANY</t>
  </si>
  <si>
    <t>TRIN00</t>
  </si>
  <si>
    <t>REPUBLIC SERVICES #794</t>
  </si>
  <si>
    <t>UNIT12</t>
  </si>
  <si>
    <t>VALICOR ENVIRONMENTAL SERVICES</t>
  </si>
  <si>
    <t>USBU00</t>
  </si>
  <si>
    <t>US BULK TRANSPORT, INC.</t>
  </si>
  <si>
    <t>VEOL12</t>
  </si>
  <si>
    <t>VEOLIA ES CANADA INDUSTRIAL SERVICES</t>
  </si>
  <si>
    <t>VLSA00</t>
  </si>
  <si>
    <t>VLS ALABAMA, LLC</t>
  </si>
  <si>
    <t>WAST01</t>
  </si>
  <si>
    <t>WASTE CONNECTIONS LONE STAR INC</t>
  </si>
  <si>
    <t>WAST05</t>
  </si>
  <si>
    <t>WASTE CONNECTIONS OF OKLAHOMA INC</t>
  </si>
  <si>
    <t>WAST07</t>
  </si>
  <si>
    <t>WASTE MANAGEMENT OF KENTUCKY</t>
  </si>
  <si>
    <t>WAST116</t>
  </si>
  <si>
    <t>WASTE PRO - BLYTHEVILLE</t>
  </si>
  <si>
    <t>WAST117</t>
  </si>
  <si>
    <t>WASTE PRO OF ARKANSAS</t>
  </si>
  <si>
    <t>WAST122</t>
  </si>
  <si>
    <t>CUMBERLAND WASTE DISPOSAL (WASTE CONNECTIONS CO)</t>
  </si>
  <si>
    <t>WAST125</t>
  </si>
  <si>
    <t>WASTE MANAGEMENT OF UTAH</t>
  </si>
  <si>
    <t>WAST126</t>
  </si>
  <si>
    <t>WASTE MANAGEMENT (CHEMICAL WASTE MANAGEMENT, INC.)</t>
  </si>
  <si>
    <t>WAST130</t>
  </si>
  <si>
    <t>WASTE MANAGEMENT FORT WORTH HAULING</t>
  </si>
  <si>
    <t>WAST14</t>
  </si>
  <si>
    <t>WM TRASH MONITOR PLUS</t>
  </si>
  <si>
    <t>WAST140</t>
  </si>
  <si>
    <t>WASTE MANAGEMENT INC. OF FLORIDA</t>
  </si>
  <si>
    <t>WAST19</t>
  </si>
  <si>
    <t>WASTE MANAGEMENT OF ILLINOIS</t>
  </si>
  <si>
    <t>WAST22</t>
  </si>
  <si>
    <t>WASTECO</t>
  </si>
  <si>
    <t>WAST23</t>
  </si>
  <si>
    <t>WASTE &amp; RECYCLING SERVICES INC</t>
  </si>
  <si>
    <t>WAST25</t>
  </si>
  <si>
    <t>WASTE RESOURCES GLENDALE</t>
  </si>
  <si>
    <t>ADVA18</t>
  </si>
  <si>
    <t>ADVANCED DISPOSAL SERVICES</t>
  </si>
  <si>
    <t>ADVA24</t>
  </si>
  <si>
    <t>ADVANCED DISPOSAL SERVICES ALABAMA, LLC</t>
  </si>
  <si>
    <t>DBDI00</t>
  </si>
  <si>
    <t>DB DISPOSAL LLC</t>
  </si>
  <si>
    <t>STAN08</t>
  </si>
  <si>
    <t>STANDARD WASTE SERVICES LLC</t>
  </si>
  <si>
    <t>WAST124</t>
  </si>
  <si>
    <t>J &amp; J SERVICES, INC. (WASTE CONNECTIONS CO)</t>
  </si>
  <si>
    <t>BLUF00</t>
  </si>
  <si>
    <t>BLUFF CITY EQUIPMENT RENTALS</t>
  </si>
  <si>
    <t>PRIO00</t>
  </si>
  <si>
    <t>PRIORITY WASTE LLC</t>
  </si>
  <si>
    <t>RTSW00</t>
  </si>
  <si>
    <t>RTS WASTE SERVICES LLC</t>
  </si>
  <si>
    <t>STER08</t>
  </si>
  <si>
    <t>STERLING SANITATION INC</t>
  </si>
  <si>
    <t>TAHO00</t>
  </si>
  <si>
    <t>TAHOE BASIN CONTAINER SERVICE</t>
  </si>
  <si>
    <t>UNIF01</t>
  </si>
  <si>
    <t>UNIFIRST CORPORATION #083</t>
  </si>
  <si>
    <t>VITA00</t>
  </si>
  <si>
    <t>VITAL RECORDS CONTROL</t>
  </si>
  <si>
    <t>ZOLL00</t>
  </si>
  <si>
    <t>ZOLLETT WASTE &amp; RECYCLING, LTD.</t>
  </si>
  <si>
    <t>48FO00</t>
  </si>
  <si>
    <t>48FORTY SOLUTIONS, LLC</t>
  </si>
  <si>
    <t>ACCU03</t>
  </si>
  <si>
    <t>ACCUSHRED</t>
  </si>
  <si>
    <t>ACVE00</t>
  </si>
  <si>
    <t>ACV ENVIRO (FORMERLY CYCLE CHEM)</t>
  </si>
  <si>
    <t>AEVI00</t>
  </si>
  <si>
    <t>AEVITAS SPECIALTY SERVICES CORP</t>
  </si>
  <si>
    <t>AJPA00</t>
  </si>
  <si>
    <t>AJ PALLET, LLC</t>
  </si>
  <si>
    <t>ARMO00</t>
  </si>
  <si>
    <t>VLS-ARMOR LLC</t>
  </si>
  <si>
    <t>BARN06</t>
  </si>
  <si>
    <t>BARNES NURSERY INC</t>
  </si>
  <si>
    <t>BATL00</t>
  </si>
  <si>
    <t>PIONEER INDUSTRIES INTERNATIONAL (BATLINER)</t>
  </si>
  <si>
    <t>BATT01</t>
  </si>
  <si>
    <t>CIRBA SOLUTIONS SERVICES US, LLC.</t>
  </si>
  <si>
    <t>BLAC03</t>
  </si>
  <si>
    <t>BLACK EAGLE PALLET LOGISTICS INC.</t>
  </si>
  <si>
    <t>BREN01</t>
  </si>
  <si>
    <t>BRENT INDUSTRIES INC</t>
  </si>
  <si>
    <t>BUCK01</t>
  </si>
  <si>
    <t>BUCK'S OIL CO. INC.</t>
  </si>
  <si>
    <t>CAHA00</t>
  </si>
  <si>
    <t>CAHABA PALLETS, LLC</t>
  </si>
  <si>
    <t>CALI05</t>
  </si>
  <si>
    <t>CALIFORNIA RECYCLERS, INC.</t>
  </si>
  <si>
    <t>CASC00</t>
  </si>
  <si>
    <t>Cascades Recovery Inc.</t>
  </si>
  <si>
    <t>CHAM04</t>
  </si>
  <si>
    <t>CHAMBERSBURG WASTE PAPER CO.</t>
  </si>
  <si>
    <t>CIRB00</t>
  </si>
  <si>
    <t>CIRBA SOLUTIONS SERVICES US, LLC</t>
  </si>
  <si>
    <t>CLEA00</t>
  </si>
  <si>
    <t>CLEANLITES RECYCLING INC.</t>
  </si>
  <si>
    <t>CLOS00</t>
  </si>
  <si>
    <t>CLOSED LOOP RECYCLING,LLC</t>
  </si>
  <si>
    <t>CONT02</t>
  </si>
  <si>
    <t>CONTAINER DISTRIBUTORS, INC.</t>
  </si>
  <si>
    <t>CONT17</t>
  </si>
  <si>
    <t>CONTINENTAL PAPER GRADING CO</t>
  </si>
  <si>
    <t>COSU00</t>
  </si>
  <si>
    <t>CO SUSTAINABILITY</t>
  </si>
  <si>
    <t>ENVI02</t>
  </si>
  <si>
    <t>ENVIRONMENTAL SPECIALISTS, INC.</t>
  </si>
  <si>
    <t>ENVI05</t>
  </si>
  <si>
    <t>ENVIRONMENTAL RUBBER RECYCLING</t>
  </si>
  <si>
    <t>EQUI04</t>
  </si>
  <si>
    <t>EQUILIBRIUM CATALYST, INC.</t>
  </si>
  <si>
    <t>GATE00</t>
  </si>
  <si>
    <t>GATEWAY PRODUCTS RECYCLINGI INC</t>
  </si>
  <si>
    <t>GOZE00</t>
  </si>
  <si>
    <t>GO ZERO SERVICES LTD</t>
  </si>
  <si>
    <t>GREA18</t>
  </si>
  <si>
    <t>GREAT LAKES ELECTRONICS CORP.</t>
  </si>
  <si>
    <t>GREE01</t>
  </si>
  <si>
    <t>GREEN MEADOW SUSTAINBALE SOLUTIONS</t>
  </si>
  <si>
    <t>HORI01</t>
  </si>
  <si>
    <t>HORWITZ &amp; PINTIS CO.</t>
  </si>
  <si>
    <t>INDU02</t>
  </si>
  <si>
    <t>INDUSTRIAL CONTAINER SERVICES (MAUSER)</t>
  </si>
  <si>
    <t>INDU12</t>
  </si>
  <si>
    <t>INDUSTRIAL CONTAINER SERVICES KY (MAUSER)</t>
  </si>
  <si>
    <t>INTE02</t>
  </si>
  <si>
    <t>INTERCO TRADING COMPANY</t>
  </si>
  <si>
    <t>INTE03</t>
  </si>
  <si>
    <t>INTERNATIONAL PAPER COMPANY</t>
  </si>
  <si>
    <t>JACK01</t>
  </si>
  <si>
    <t>JAKACKI BAG &amp; BARREL, INC.</t>
  </si>
  <si>
    <t>KAMP00</t>
  </si>
  <si>
    <t>KAMPS INC. DBA KAMPS PALLETS</t>
  </si>
  <si>
    <t>KAMP01</t>
  </si>
  <si>
    <t>KAMPS NORTH, LLC</t>
  </si>
  <si>
    <t>KNIG00</t>
  </si>
  <si>
    <t>KNIGHTHORST SHREDDING, LLC</t>
  </si>
  <si>
    <t>KREN00</t>
  </si>
  <si>
    <t>JOE KRENTZMAN &amp; SON, INC.</t>
  </si>
  <si>
    <t>LAMP00</t>
  </si>
  <si>
    <t>LAMPMASTER RECYCLING</t>
  </si>
  <si>
    <t>LIBE03</t>
  </si>
  <si>
    <t>LIBERTY TIRE SERVICES, LLC</t>
  </si>
  <si>
    <t>LIGH00</t>
  </si>
  <si>
    <t>LIGHTING RESOURCES LLC</t>
  </si>
  <si>
    <t>LUMB01</t>
  </si>
  <si>
    <t>LUMBER AND THINGS, INC.</t>
  </si>
  <si>
    <t>MARC02</t>
  </si>
  <si>
    <t>MARCK INDUSTRIES OF NORTHEAST ARKANSAS, LLC</t>
  </si>
  <si>
    <t>MARC03</t>
  </si>
  <si>
    <t>MARCK RECYCLING &amp; WASTE SERV</t>
  </si>
  <si>
    <t>MCIN01</t>
  </si>
  <si>
    <t>MCINTOSH BOX &amp; PALLET CO., INC.</t>
  </si>
  <si>
    <t>MCNE00</t>
  </si>
  <si>
    <t>MCNEILLY WOOD PRODUCTS, INC.</t>
  </si>
  <si>
    <t>MICH56</t>
  </si>
  <si>
    <t>MICHIGAN PALLET INCORPORATED</t>
  </si>
  <si>
    <t>MIDM00</t>
  </si>
  <si>
    <t>MID-MICHIGAN RECYCLING L.L.C</t>
  </si>
  <si>
    <t>MILL03</t>
  </si>
  <si>
    <t>MILLWOOD, INC.</t>
  </si>
  <si>
    <t>MISS00</t>
  </si>
  <si>
    <t>MISSOURI ORGANIC RECYCLING, INC</t>
  </si>
  <si>
    <t>MRCR00</t>
  </si>
  <si>
    <t>MRC RECYCLING</t>
  </si>
  <si>
    <t>MWME00</t>
  </si>
  <si>
    <t>MW METALS GROUP, LLC</t>
  </si>
  <si>
    <t>MYGR00</t>
  </si>
  <si>
    <t>MY GREEN MICHIGAN, LLC</t>
  </si>
  <si>
    <t>NALE00</t>
  </si>
  <si>
    <t>NALEXA INC.</t>
  </si>
  <si>
    <t>NEWI00</t>
  </si>
  <si>
    <t>NEW-INDY HARTFORD CITY RECYCLING</t>
  </si>
  <si>
    <t>OLYM00</t>
  </si>
  <si>
    <t>OLYMPIC PALLET CORP</t>
  </si>
  <si>
    <t>OMNI03</t>
  </si>
  <si>
    <t>OMNISOURCE ELECTRONICS RECYCLING, LLC</t>
  </si>
  <si>
    <t>PADN00</t>
  </si>
  <si>
    <t>PADNOS</t>
  </si>
  <si>
    <t>PALL00</t>
  </si>
  <si>
    <t>PALLET WORLD INC.</t>
  </si>
  <si>
    <t>PALL03</t>
  </si>
  <si>
    <t>PALLET LOGISTICS OF AMERICA</t>
  </si>
  <si>
    <t>PALL06</t>
  </si>
  <si>
    <t>PALLET SALES AND RECYCLING, INC.</t>
  </si>
  <si>
    <t>PAPE02</t>
  </si>
  <si>
    <t>PAPER RECOVERY SERVICE CORPORATION</t>
  </si>
  <si>
    <t>PENN02</t>
  </si>
  <si>
    <t>PENN WASTE INC.</t>
  </si>
  <si>
    <t>PROF03</t>
  </si>
  <si>
    <t>PROFESSIONAL PALLETS LLC</t>
  </si>
  <si>
    <t>PROS02</t>
  </si>
  <si>
    <t>PROSHRED SECURITY</t>
  </si>
  <si>
    <t>QUIN01</t>
  </si>
  <si>
    <t>QUINCY RECYCLE</t>
  </si>
  <si>
    <t>RECO03</t>
  </si>
  <si>
    <t>RECOLOGY AUBURN PLACER</t>
  </si>
  <si>
    <t>RMRL00</t>
  </si>
  <si>
    <t>RMR-LOUISVILLE, LLC</t>
  </si>
  <si>
    <t>ROSE03</t>
  </si>
  <si>
    <t>ROSE PALLET LLC</t>
  </si>
  <si>
    <t>SECU00</t>
  </si>
  <si>
    <t>SECURE E-CYCLE</t>
  </si>
  <si>
    <t>SERV00</t>
  </si>
  <si>
    <t>SERVICE RECYCLING</t>
  </si>
  <si>
    <t>SMIT02</t>
  </si>
  <si>
    <t>SMITH CREEK, INC.</t>
  </si>
  <si>
    <t>SONO00</t>
  </si>
  <si>
    <t>SONOCO RECYCLING, LLC</t>
  </si>
  <si>
    <t>SOUT19</t>
  </si>
  <si>
    <t>SOUTH TAHOE REFUSE CO. INC</t>
  </si>
  <si>
    <t>STAT03</t>
  </si>
  <si>
    <t>STATE PAPER &amp; METAL CO. INC.</t>
  </si>
  <si>
    <t>SUBU02</t>
  </si>
  <si>
    <t>SUBURBAN CARTING CO.</t>
  </si>
  <si>
    <t>SUPE15</t>
  </si>
  <si>
    <t>SUPERIOR PACKAGING OF TOLEDO LLC</t>
  </si>
  <si>
    <t>TAYL02</t>
  </si>
  <si>
    <t>TAYLOR RECYCLING INC.</t>
  </si>
  <si>
    <t>TKMS00</t>
  </si>
  <si>
    <t>T.K.M.S. INC.</t>
  </si>
  <si>
    <t>TRIT00</t>
  </si>
  <si>
    <t>TRITZ PALLET INC</t>
  </si>
  <si>
    <t>UNLI00</t>
  </si>
  <si>
    <t>UNLIMITED RECYCLING, INC.</t>
  </si>
  <si>
    <t>USEN00</t>
  </si>
  <si>
    <t>US ENVIRONMENTAL, INC.</t>
  </si>
  <si>
    <t>USHE00</t>
  </si>
  <si>
    <t>USHER OIL COMPANY</t>
  </si>
  <si>
    <t>VALL04</t>
  </si>
  <si>
    <t>VALLEY VISTA SERVICES (VVS) OF ORANGE COUNTY</t>
  </si>
  <si>
    <t>VIMR00</t>
  </si>
  <si>
    <t>VIM RECYCLERS</t>
  </si>
  <si>
    <t>WALK04</t>
  </si>
  <si>
    <t>WALKER ENVIRONMENTAL GROUP INC</t>
  </si>
  <si>
    <t>WAST02</t>
  </si>
  <si>
    <t>WASTE RECYCLING (Tuscaloosa)</t>
  </si>
  <si>
    <t>WAST03</t>
  </si>
  <si>
    <t>WASTE RECYCLING (MONTGOMERY)</t>
  </si>
  <si>
    <t>WERN00</t>
  </si>
  <si>
    <t>TRANSFER SYSTEMS &amp; WAREHOUSING (WERNER &amp; SON)</t>
  </si>
  <si>
    <t>WEST01</t>
  </si>
  <si>
    <t>WESTERN WASHTENAW RECYCLING AUTHORITY</t>
  </si>
  <si>
    <t>ABCT00</t>
  </si>
  <si>
    <t>ABC TIRE RECYCLING</t>
  </si>
  <si>
    <t>ALLS02</t>
  </si>
  <si>
    <t>ALLSHRED SERVICES</t>
  </si>
  <si>
    <t>CONS00</t>
  </si>
  <si>
    <t>CONSOLIDATED CONTAINER COMPANY</t>
  </si>
  <si>
    <t>CROS00</t>
  </si>
  <si>
    <t>CROSS INDUSTRIES, LLC</t>
  </si>
  <si>
    <t>GREA00</t>
  </si>
  <si>
    <t>GREAT LAKES RECYCLING</t>
  </si>
  <si>
    <t>LOUI00</t>
  </si>
  <si>
    <t>LOUISVILLE COMPOST CO-OP LLC</t>
  </si>
  <si>
    <t>R&amp;MR00</t>
  </si>
  <si>
    <t>R &amp; M RECYCLING, INC</t>
  </si>
  <si>
    <t>COWL00</t>
  </si>
  <si>
    <t>COWLEY CONTAINER CORPORATION</t>
  </si>
  <si>
    <t>GLOB09</t>
  </si>
  <si>
    <t>GLOBAL SPECIALTY CLEANERS</t>
  </si>
  <si>
    <t>OSCO00</t>
  </si>
  <si>
    <t>OSCO INCORPORATED</t>
  </si>
  <si>
    <t>RELI04</t>
  </si>
  <si>
    <t>RELIANCE BOTTLE GAS CO INC.</t>
  </si>
  <si>
    <t>WASTES FROM ON-GOING PRODUCTION AND SERVICE PROCESSES</t>
  </si>
  <si>
    <t>Code</t>
  </si>
  <si>
    <t>Description</t>
  </si>
  <si>
    <t>Dip, flush or spray rinsing (using solvents to clean or prepare parts or assemblies for further processing)</t>
  </si>
  <si>
    <t>Stripping and acid or caustic cleaning (using caustics to remove coatings or layers from parts or assemblies)</t>
  </si>
  <si>
    <t>Plating and phosphating (electro- or non-electroplating or phosphating)</t>
  </si>
  <si>
    <t>Etching (using caustics or other methods to remove layers or partial layers)</t>
  </si>
  <si>
    <t>Metal forming and treatment (pickling, heat treating, punching, bending, annealing, grinding, hardening, etc.)</t>
  </si>
  <si>
    <t>Painting and coating (manufacturing, building, or maintenance)</t>
  </si>
  <si>
    <t>Product and by-product processing (direct flow of wastes from chemical manufacturing or processing, etc.)</t>
  </si>
  <si>
    <t>Removal of spent process liquids or catalysts (bulk removal of wastes from chemical manufacturing or processing, etc.)</t>
  </si>
  <si>
    <t>Other production or service-related processes from which the waste is a direct outflow or result</t>
  </si>
  <si>
    <t>WASTES FROM OTHER INTERMITTENT EVENTS OR PROCESSES</t>
  </si>
  <si>
    <t>Discarding off-specification, out-of-date, and/or unused chemicals or products</t>
  </si>
  <si>
    <t>Lagoon or sediment dragout and leachate collection (large scale operations in open pits, ponds, or lagoons)</t>
  </si>
  <si>
    <t>Cleaning out process equipment (periodic sludge or residual removal from enclosed processes including internal scrubbing or cleaning)</t>
  </si>
  <si>
    <t>Removal of tank sludge, sediments or slag (periodic sludge or residual removal from storage tanks including internal scrubbing or cleaning)</t>
  </si>
  <si>
    <t>Process equipment change-out or discontinuation of equipment use (final materials and residuals removal including cleaning)</t>
  </si>
  <si>
    <t>Oil changes and filter or battery replacement (automotive, machinery, etc.)</t>
  </si>
  <si>
    <t>Subpart K laboratory waste clean-out (facility must have opted into the Subpart K rule to use this source code)</t>
  </si>
  <si>
    <t>Other one-time or intermittent processes</t>
  </si>
  <si>
    <t>RESIDUALS FROM POLLUTION CONTROL AND WASTE MANAGEMENT PROCESSES</t>
  </si>
  <si>
    <t>Air pollution control devices (e.g., baghouse dust ash, etc. from stack scrubbers or precipitators; vapor collection, etc.)</t>
  </si>
  <si>
    <t>Laboratory analytical wastes (used chemicals from laboratory operations)</t>
  </si>
  <si>
    <t>Wastewater treatment (sludge, filter cake, etc., including wastes from treatment before discharge by NPDES or POTW or by UIC disposal)</t>
  </si>
  <si>
    <t>Solvent or product distillation as part of a production process (including totally enclosed treatment systems)</t>
  </si>
  <si>
    <t>Treatment, disposal, or recycling of hazardous wastes</t>
  </si>
  <si>
    <t>Leachate collection (from landfill operations or other land units)</t>
  </si>
  <si>
    <t>Treatment or recovery of universal waste</t>
  </si>
  <si>
    <t>WASTES FROM SPILLS AND ACCIDENTAL RELEASES</t>
  </si>
  <si>
    <t>Accidental contamination of products, materials or containers</t>
  </si>
  <si>
    <t>Cleanup of spill residues (infrequent, not routine)</t>
  </si>
  <si>
    <t>Leak collection and floor sweeping (on-going, routine)</t>
  </si>
  <si>
    <t>Other cleanup of current contamination (specify in comments)</t>
  </si>
  <si>
    <t>WASTES FROM REMEDIATION OF PAST CONTAMINATION</t>
  </si>
  <si>
    <t>Closure of hazardous waste management unit under RCRA</t>
  </si>
  <si>
    <t>Corrective action at a solid waste management unit under RCRA</t>
  </si>
  <si>
    <t>Remedial action or emergency response under Superfund</t>
  </si>
  <si>
    <t>Cleanup under State or voluntary program</t>
  </si>
  <si>
    <t>Cleanup of underground storage tank</t>
  </si>
  <si>
    <t>Other remediation</t>
  </si>
  <si>
    <t>WASTES RECEIVED BY AN LQG FROM VSQGS UNDER THE CONTROL OF THE SAME PERSON</t>
  </si>
  <si>
    <t>Hazardous wastes received by an LQG from VSQGs under the control of the same person</t>
  </si>
  <si>
    <t>WASTES NOT PHYSICALLY GENERATED ON-SITE</t>
  </si>
  <si>
    <t>Received from off-site for storage/bulking and transfer off-site for treatment or disposal</t>
  </si>
  <si>
    <t>Hazardous waste received from a site located in a foreign country (other than a U.S. territory or protectorate)</t>
  </si>
  <si>
    <t>Evaluated hazardous waste pharmaceuticals accumulated by a reverse distributor</t>
  </si>
  <si>
    <t>Airbag waste received from airbag waste handlers exempted under 40 CFR 261.7(j) prior to arrival at the airbag collection facility or designated facility</t>
  </si>
  <si>
    <t>WASTE NOT PHYSICALLY GENERATED ON-SITE</t>
  </si>
  <si>
    <t>Hazardous waste received from Antarctica</t>
  </si>
  <si>
    <t>Hazardous waste received from Aruba</t>
  </si>
  <si>
    <t>Hazardous waste received from Bahamas</t>
  </si>
  <si>
    <t>Hazardous waste received from Belgium</t>
  </si>
  <si>
    <t>Hazardous waste received from Brazil</t>
  </si>
  <si>
    <t>Hazardous waste received from Canada</t>
  </si>
  <si>
    <t>Hazardous waste received from Holland</t>
  </si>
  <si>
    <t>Hazardous waste received from Malaysia</t>
  </si>
  <si>
    <t>Hazardous waste received from Mexico</t>
  </si>
  <si>
    <t>Hazardous waste received from New Zealand</t>
  </si>
  <si>
    <t>Hazardous waste received from Taiwan</t>
  </si>
  <si>
    <t>Hazardous waste received from Venezuela</t>
  </si>
  <si>
    <t>Hazardous waste received from other foreign country - see Comments for country name</t>
  </si>
  <si>
    <t>MIXED MEDIA / DEBRIS / DEVICES</t>
  </si>
  <si>
    <t>Lab packs from any source not containing acute hazardous waste</t>
  </si>
  <si>
    <t>Contaminated debris: (e.g., certain paper, clothing, rags, wood, empty fiber or plastic containers, glass,piping, or other solids)</t>
  </si>
  <si>
    <t>Lab packs from any source containing acute hazardous waste</t>
  </si>
  <si>
    <t>Waste pharmaceuticals managed as hazardous waste</t>
  </si>
  <si>
    <t>Airbag waste (airbag modules or airbag inflators managed as hazardous waste)</t>
  </si>
  <si>
    <t>Contaminated soil (usually from spill cleanup</t>
  </si>
  <si>
    <t>Batteries, battery parts, cores, casings</t>
  </si>
  <si>
    <t>Filters, solid adsorbents, ion exchange resins and spent carbon</t>
  </si>
  <si>
    <t>Electrical devices (lamps, thermostats, CRTs, etc.)</t>
  </si>
  <si>
    <t>Sediment or lagoon dragout, drilling or other muds</t>
  </si>
  <si>
    <t>Compressed gases</t>
  </si>
  <si>
    <t>INORGANIC LIQUIDS</t>
  </si>
  <si>
    <t>Very dilute aqueous waste containing more than 99% water (land disposal restriction defined wastewater that is not exempt under NPDES or POTW discharge)</t>
  </si>
  <si>
    <t>Spent concentrated acid (5% or more)</t>
  </si>
  <si>
    <t>Acidic aqueous wastes less than 5% acid (diluted but pH &lt;2)</t>
  </si>
  <si>
    <t>Aqueous waste containing cyanides (generally caustic)</t>
  </si>
  <si>
    <t>Caustic aqueous waste without cyanides (pH &gt;12.5)</t>
  </si>
  <si>
    <t>Other aqueous waste or wastewaters (fluid but not sludge)</t>
  </si>
  <si>
    <t>Waste liquid mercury (metallic)</t>
  </si>
  <si>
    <t>Other inorganic liquid</t>
  </si>
  <si>
    <t>ORGANIC LIQUIDS</t>
  </si>
  <si>
    <t>Still bottoms in liquid form (fluid but not sludge)</t>
  </si>
  <si>
    <t>Concentrated halogenated (e.g., chlorinated) solvent</t>
  </si>
  <si>
    <t>Concentrated non-halogenated (e.g., non-chlorinated) solvent</t>
  </si>
  <si>
    <t>Concentrated halogenated/non-halogenated solvent mixture</t>
  </si>
  <si>
    <t>Oil-water emulsion or mixture (fluid but not sludge)</t>
  </si>
  <si>
    <t>Waste oil managed as hazardous waste</t>
  </si>
  <si>
    <t>Paint, ink, lacquer, or varnish (fluid - not dried out or sludge)</t>
  </si>
  <si>
    <t>Reactive or polymerizable organic liquids and adhesives (fluid but not sludge)</t>
  </si>
  <si>
    <t>Paint thinner or petroleum distillates</t>
  </si>
  <si>
    <t>Other organic liquid</t>
  </si>
  <si>
    <t>INORGANIC SOLIDS</t>
  </si>
  <si>
    <t>Ash (from any type of burning of hazardous waste)</t>
  </si>
  <si>
    <t>Slags, drosses, and other solid thermal residues</t>
  </si>
  <si>
    <t>Metal scale, filings and scrap (including metal drums)</t>
  </si>
  <si>
    <t>Cyanide or metal cyanide bearing solids, salts or chemicals</t>
  </si>
  <si>
    <t>Metal salts or chemicals not containing cyanides</t>
  </si>
  <si>
    <t>Other inorganic solids</t>
  </si>
  <si>
    <t>ORGANIC SOLIDS</t>
  </si>
  <si>
    <t>Pesticide solids (used or discarded; not contaminated soils)</t>
  </si>
  <si>
    <t>Solid resins, plastics or polymerized organics</t>
  </si>
  <si>
    <t>Explosives or reactive organic solids</t>
  </si>
  <si>
    <t>Dried paint (paint chips, filters, air filters, other)</t>
  </si>
  <si>
    <t>Other organic solids</t>
  </si>
  <si>
    <t>INORGANIC SLUDGES</t>
  </si>
  <si>
    <t>Lime and/or metal hydroxide sludges and solids with no cyanides (not contaminated muds)</t>
  </si>
  <si>
    <t>Gypsum sludges from wastewater treatment or air pollution control</t>
  </si>
  <si>
    <t>Other sludges from wastewater treatment or air pollution control</t>
  </si>
  <si>
    <t>Metal bearing sludges (including plating sludge) not containing cyanides</t>
  </si>
  <si>
    <t>Cyanide-bearing sludges (not contaminated soils)</t>
  </si>
  <si>
    <t>Other inorganic sludges (not contaminated muds)</t>
  </si>
  <si>
    <t>ORGANIC SLUDGES</t>
  </si>
  <si>
    <t>Oily sludge (not contaminated muds)</t>
  </si>
  <si>
    <t>Paint or ink sludges, still bottoms in sludge form (not contaminated muds)</t>
  </si>
  <si>
    <t>Resins, tars, polymer or tarry sludge (not contaminated muds)</t>
  </si>
  <si>
    <t>Other organic sludge</t>
  </si>
  <si>
    <t>RECLAMATION AND RECOVERY</t>
  </si>
  <si>
    <t>Metals recovery including retorting, smelting, chemical, etc.</t>
  </si>
  <si>
    <t>Mercury recovery (includes mercury retorting, bulb/lamp crushing and mercury vapor recovery, thermostat recovery, mercury from medical equipment recovery, mercury car switch recovery, etc.)</t>
  </si>
  <si>
    <t>Deployment/deactivation of airbag waste followed by metals recovery</t>
  </si>
  <si>
    <t>Solvents recovery</t>
  </si>
  <si>
    <t>Other recovery or reclamation for reuse including acid regeneration, organics recovery, etc.</t>
  </si>
  <si>
    <t>Energy recovery at this site; used as fuel (includes on-site fuel blending before energy recovery)</t>
  </si>
  <si>
    <t>Fuel blending prior to energy recovery at another site (waste generated on-site or received from off-site)</t>
  </si>
  <si>
    <t>DESTRUCTION OR TREATMENT PRIOR TO DISPOSAL AT ANOTHER SITE</t>
  </si>
  <si>
    <t>Incineration; thermal destruction other than use as a fuel</t>
  </si>
  <si>
    <t>Open burning/open detonation (should be permitted under Subpart X with process code X01)</t>
  </si>
  <si>
    <t>Thermal desorption to remove organic contaminants from soil, sludge, or sediment by heating them in a unit called a "thermal desorber" to separate the contaminants</t>
  </si>
  <si>
    <t>Chemical treatment (reduction / destruction / oxidation / precipitation)</t>
  </si>
  <si>
    <t>Biological treatment</t>
  </si>
  <si>
    <t>Polymerization (LDR standard as treatment method)</t>
  </si>
  <si>
    <t>Physical treatment only (adsorption / absorption / separation / stripping / dewatering)</t>
  </si>
  <si>
    <t>Stabilization prior to land disposal at another site (encapsulation / stabilization / fixation)</t>
  </si>
  <si>
    <t>Stabilization to remove hazardous waste characteristics or to achieve delisting levels</t>
  </si>
  <si>
    <t>Combination of chemical, biological and/or physical treatment</t>
  </si>
  <si>
    <t>Neutralization only</t>
  </si>
  <si>
    <t>Evaporation</t>
  </si>
  <si>
    <t>Other treatment that does not include on-site disposal</t>
  </si>
  <si>
    <t>DISPOSAL</t>
  </si>
  <si>
    <t>Surface impoundment that will be closed as a landfill (with prior treatment and/or stabilization meeting LDR treatment standard)</t>
  </si>
  <si>
    <t>Land treatment or application (with any prior treatment and/or stabilization)</t>
  </si>
  <si>
    <t>Landfill  (with prior treatment and/or stabilization)</t>
  </si>
  <si>
    <t>Deepwell or underground injection (with or without treatment)</t>
  </si>
  <si>
    <t>Discharge to sewer/POTW (with prior storage - with or without treatment)</t>
  </si>
  <si>
    <t>Discharge to NPDES permit (with prior storage - with or without treatment)</t>
  </si>
  <si>
    <t>TRANSFER OFF-SITE</t>
  </si>
  <si>
    <t>Storage and Transfer -The site receiving this waste stored/bulked and transferred the waste with no reclamation, recovery, destruction, treatment, or disposal at that site</t>
  </si>
  <si>
    <t>LEGACY VALUES - MANAGEMENT METHOD</t>
  </si>
  <si>
    <t>H071</t>
  </si>
  <si>
    <t>Chemical reduction with or without precipitation</t>
  </si>
  <si>
    <t>H073</t>
  </si>
  <si>
    <t>Cyanide destruction with or without precipitation</t>
  </si>
  <si>
    <t>H075</t>
  </si>
  <si>
    <t>Chemical oxidation</t>
  </si>
  <si>
    <t>H076</t>
  </si>
  <si>
    <t>Wet air oxidation</t>
  </si>
  <si>
    <t>H077</t>
  </si>
  <si>
    <t>Other chemical precipitation with or without pre-treatment</t>
  </si>
  <si>
    <t>H082</t>
  </si>
  <si>
    <t>Adsorption</t>
  </si>
  <si>
    <t>H083</t>
  </si>
  <si>
    <t>Air or steam stripping</t>
  </si>
  <si>
    <t>H101</t>
  </si>
  <si>
    <t>Sludge treatment and/or dewatering</t>
  </si>
  <si>
    <t>H103</t>
  </si>
  <si>
    <t>Absorption</t>
  </si>
  <si>
    <t>H111</t>
  </si>
  <si>
    <t>Stabilization or chemical fixation prior to disposal at another site</t>
  </si>
  <si>
    <t>H112</t>
  </si>
  <si>
    <t>Macro-encapsulation prior to disposal at another site</t>
  </si>
  <si>
    <t>H123</t>
  </si>
  <si>
    <t>Settling or clarification</t>
  </si>
  <si>
    <t>H124</t>
  </si>
  <si>
    <t>Phase separation</t>
  </si>
  <si>
    <t>H135</t>
  </si>
  <si>
    <t>Discharge to sewer/POTW or NPDES (storage or transported prior to discharge to POTW or by NPDES)</t>
  </si>
  <si>
    <t>H139</t>
  </si>
  <si>
    <t>Other Disposal</t>
  </si>
  <si>
    <t>Exploration, mining, quarrying and mineral treatment</t>
  </si>
  <si>
    <t>wastes from mineral metalliferous excavation</t>
  </si>
  <si>
    <t>wastes from mineral non-metalliferous excavation</t>
  </si>
  <si>
    <t>acid-generating tailings from processing of sulphide ore</t>
  </si>
  <si>
    <t>other tailings containing hazardous substances</t>
  </si>
  <si>
    <t>tailings other than those mentioned in 01 03 04 and 01 03 05</t>
  </si>
  <si>
    <t>other wastes containing hazardous substances from physical and chemical processing of metalliferous minerals</t>
  </si>
  <si>
    <t>dusty and powdery wastes other than those mentioned in 01 03 07</t>
  </si>
  <si>
    <t>red mud from alumina production other than the wastes mentioned in 01 03 10</t>
  </si>
  <si>
    <t>red mud from alumina production containing hazardous substances other than the wastes mentioned in 01 03 07</t>
  </si>
  <si>
    <t>wastes not otherwise specified</t>
  </si>
  <si>
    <t>wastes containing hazardous substances from physical and chemical processing of non-metalliferous minerals</t>
  </si>
  <si>
    <t>waste gravel and crushed rocks other than those mentioned in 01 04 07</t>
  </si>
  <si>
    <t>waste sand and clays</t>
  </si>
  <si>
    <t>dusty and powdery wastes other than those mentioned in 01 04 07</t>
  </si>
  <si>
    <t>wastes from potash and rock salt processing other than those mentioned in 01 04 07</t>
  </si>
  <si>
    <t>tailings and other wastes from washing and cleaning of minerals other than those mentioned in 01 04 07 and 01 04 11</t>
  </si>
  <si>
    <t>wastes from stone cutting and sawing other than those mentioned in 01 04 07</t>
  </si>
  <si>
    <t>freshwater drilling muds and wastes</t>
  </si>
  <si>
    <t>oil-containing drilling muds and wastes</t>
  </si>
  <si>
    <t>drilling muds and other drilling wastes containing hazardous substances</t>
  </si>
  <si>
    <t>barite-containing drilling muds and wastes other than those mentioned in 01 05 05 and 01 05 06</t>
  </si>
  <si>
    <t>chloride-containing drilling muds and wastes other than those mentioned in 01 05 05 and 01 05 06</t>
  </si>
  <si>
    <t>Agriculture, horticulture, aquaculture, forestry, hunting and fishing, food processing</t>
  </si>
  <si>
    <t>sludges from washing and cleaning</t>
  </si>
  <si>
    <t>animal-tissue waste</t>
  </si>
  <si>
    <t>plant-tissue waste</t>
  </si>
  <si>
    <t>waste plastics (except packaging)</t>
  </si>
  <si>
    <t>animal faeces, urine and manure (including spoiled straw), effluent, collected separately and treated off-site</t>
  </si>
  <si>
    <t>wastes from forestry</t>
  </si>
  <si>
    <t>agrochemical waste containing hazardous substances</t>
  </si>
  <si>
    <t>agrochemical waste other than those mentioned in 02 01 08</t>
  </si>
  <si>
    <t>waste metal</t>
  </si>
  <si>
    <t>materials unsuitable for consumption or processing</t>
  </si>
  <si>
    <t>sludges from on-site effluent treatment</t>
  </si>
  <si>
    <t>sludges from washing, cleaning, peeling, centrifuging and separation</t>
  </si>
  <si>
    <t>wastes from preserving agents</t>
  </si>
  <si>
    <t>wastes from solvent extraction</t>
  </si>
  <si>
    <t>soil from cleaning and washing beet</t>
  </si>
  <si>
    <t>off-specification calcium carbonate</t>
  </si>
  <si>
    <t>wastes from washing, cleaning and mechanical reduction of raw materials</t>
  </si>
  <si>
    <t>wastes from spirits distillation</t>
  </si>
  <si>
    <t>wastes from chemical treatment</t>
  </si>
  <si>
    <t>Wood processing, furniture, pulp, paper and cardboard production</t>
  </si>
  <si>
    <t>waste bark and cork</t>
  </si>
  <si>
    <t>sawdust, shavings, cuttings, wood, particle board and veneer containing hazardous substances</t>
  </si>
  <si>
    <t>sawdust, shavings, cuttings, wood, particle board and veneer other than those mentioned in 03 01 04</t>
  </si>
  <si>
    <t>non-halogenated organic wood preservatives</t>
  </si>
  <si>
    <t>organochlorinated wood preservatives</t>
  </si>
  <si>
    <t>organometallic wood preservatives</t>
  </si>
  <si>
    <t>inorganic wood preservatives</t>
  </si>
  <si>
    <t>other wood preservatives containing hazardous substances</t>
  </si>
  <si>
    <t>wood preservatives not otherwise specified</t>
  </si>
  <si>
    <t>waste bark and wood</t>
  </si>
  <si>
    <t>green liquor sludge (from recovery of cooking liquor)</t>
  </si>
  <si>
    <t>de-inking sludges from paper recycling</t>
  </si>
  <si>
    <t>mechanically separated rejects from pulping of waste paper and cardboard</t>
  </si>
  <si>
    <t>wastes from sorting of paper and cardboard destined for recycling</t>
  </si>
  <si>
    <t>lime mud waste</t>
  </si>
  <si>
    <t>fibre rejects, fibre-, filler- and coating-sludges from mechanical separation</t>
  </si>
  <si>
    <t>sludges from on-site effluent treatment other than those mentioned in 03 03 10</t>
  </si>
  <si>
    <t>Wastes from leather, fur and textile industries</t>
  </si>
  <si>
    <t>fleshings and lime split wastes</t>
  </si>
  <si>
    <t>liming waste</t>
  </si>
  <si>
    <t>degreasing wastes containing solvents without a liquid phase</t>
  </si>
  <si>
    <t>tanning liquor containing chromium</t>
  </si>
  <si>
    <t>tanning liquor free of chromium</t>
  </si>
  <si>
    <t>sludges, in particular from on-site effluent treatment containing chromium</t>
  </si>
  <si>
    <t>sludges, in particular from on-site effluent treatment free of chromium</t>
  </si>
  <si>
    <t>waste tanned leather (blue sheetings, shavings, cuttings, buffing dust) containing chromium</t>
  </si>
  <si>
    <t>wastes from dressing and finishing</t>
  </si>
  <si>
    <t>wastes not otherwise specified.</t>
  </si>
  <si>
    <t>wastes from composite materials (impregnated textile, elastomer, plastomer)</t>
  </si>
  <si>
    <t>organic matter from natural products (for example grease, wax)</t>
  </si>
  <si>
    <t>wastes from finishing containing organic solvents</t>
  </si>
  <si>
    <t>wastes from finishing other than those mentioned in 04 02 14</t>
  </si>
  <si>
    <t>dyestuffs and pigments containing hazardous substances</t>
  </si>
  <si>
    <t>dyestuffs and pigments other than those mentioned in 04 02 16</t>
  </si>
  <si>
    <t>sludges from on-site effluent treatment containing hazardous substances</t>
  </si>
  <si>
    <t>sludges from on-site effluent treatment other than those mentioned in 04 02 19</t>
  </si>
  <si>
    <t>wastes from unprocessed textile fibres</t>
  </si>
  <si>
    <t>wastes from processed textile fibres</t>
  </si>
  <si>
    <t>Petroleum, gas and coal refining</t>
  </si>
  <si>
    <t>desalter sludges</t>
  </si>
  <si>
    <t>tank bottom sludges</t>
  </si>
  <si>
    <t>acid alkyl sludges</t>
  </si>
  <si>
    <t>oil spills</t>
  </si>
  <si>
    <t>oily sludges from maintenance operations of the plant or equipment</t>
  </si>
  <si>
    <t>acid tars</t>
  </si>
  <si>
    <t>other tars</t>
  </si>
  <si>
    <t>sludges from on-site effluent treatment other than those mentioned in 05 01 09</t>
  </si>
  <si>
    <t>wastes from cleaning of fuels with bases</t>
  </si>
  <si>
    <t>oil containing acids</t>
  </si>
  <si>
    <t>boiler feedwater sludges</t>
  </si>
  <si>
    <t>wastes from cooling columns</t>
  </si>
  <si>
    <t>spent filter clays</t>
  </si>
  <si>
    <t>sulphur-containing wastes from petroleum desulphurisation</t>
  </si>
  <si>
    <t>bitumen</t>
  </si>
  <si>
    <t>waste from cooling columns</t>
  </si>
  <si>
    <t>wastes containing mercury</t>
  </si>
  <si>
    <t>wastes containing sulphur</t>
  </si>
  <si>
    <t>Inorganic chemical processes</t>
  </si>
  <si>
    <t>sulphuric acid and sulphurous acid</t>
  </si>
  <si>
    <t>hydrochloric acid</t>
  </si>
  <si>
    <t>hydrofluoric acid</t>
  </si>
  <si>
    <t>phosphoric and phosphorous acid</t>
  </si>
  <si>
    <t>nitric acid and nitrous acid</t>
  </si>
  <si>
    <t>other acids</t>
  </si>
  <si>
    <t>calcium hydroxide</t>
  </si>
  <si>
    <t>ammonium hydroxide</t>
  </si>
  <si>
    <t>sodium and potassium hydroxide</t>
  </si>
  <si>
    <t>other bases</t>
  </si>
  <si>
    <t>solid salts and solutions containing cyanides</t>
  </si>
  <si>
    <t>solid salts and solutions containing heavy metals</t>
  </si>
  <si>
    <t>solid salts and solutions other than those mentioned in 06 03 11 and 06 03 13</t>
  </si>
  <si>
    <t>metallic oxides containing heavy metals</t>
  </si>
  <si>
    <t>metallic oxides other than those mentioned in 06 03 15</t>
  </si>
  <si>
    <t>wastes containing arsenic</t>
  </si>
  <si>
    <t>wastes containing other heavy metals</t>
  </si>
  <si>
    <t>sludges from on-site effluent treatment other than those mentioned in 06 05 02</t>
  </si>
  <si>
    <t>wastes containing hazardous sulphides</t>
  </si>
  <si>
    <t>wastes containing sulphides other than those mentioned in 06 06 02</t>
  </si>
  <si>
    <t>wastes containing asbestos from electrolysis</t>
  </si>
  <si>
    <t>activated carbon from chlorine production</t>
  </si>
  <si>
    <t>barium sulphate sludge containing mercury</t>
  </si>
  <si>
    <t>solutions and acids, for example contact acid</t>
  </si>
  <si>
    <t>wastes containing hazardous chlorosilanes</t>
  </si>
  <si>
    <t>phosphorous slag</t>
  </si>
  <si>
    <t>calcium-based reaction wastes containing or contaminated with hazardous substances</t>
  </si>
  <si>
    <t>calcium-based reaction wastes other than those mentioned in 06 09 03</t>
  </si>
  <si>
    <t>wastes containing hazardous substances</t>
  </si>
  <si>
    <t>calcium-based reaction wastes from titanium dioxide production</t>
  </si>
  <si>
    <t>inorganic plant protection products, wood-preserving agents and other biocides.</t>
  </si>
  <si>
    <t>spent activated carbon (except 06 07 02)</t>
  </si>
  <si>
    <t>carbon black</t>
  </si>
  <si>
    <t>wastes from asbestos processing</t>
  </si>
  <si>
    <t>soot</t>
  </si>
  <si>
    <t>Organic chemical processes</t>
  </si>
  <si>
    <t>aqueous washing liquids and mother liquors</t>
  </si>
  <si>
    <t>organic halogenated solvents, washing liquids and mother liquors</t>
  </si>
  <si>
    <t>other organic solvents, washing liquids and mother liquors</t>
  </si>
  <si>
    <t>halogenated still bottoms and reaction residues</t>
  </si>
  <si>
    <t>other still bottoms and reaction residues</t>
  </si>
  <si>
    <t>halogenated filter cakes and spent absorbents</t>
  </si>
  <si>
    <t>other filter cakes and spent absorbents</t>
  </si>
  <si>
    <t>sludges from on-site effluent treatment other than those mentioned in 07 01 11</t>
  </si>
  <si>
    <t>sludges from on-site effluent treatment other than those mentioned in 07 02 11</t>
  </si>
  <si>
    <t>waste plastic</t>
  </si>
  <si>
    <t>wastes from additives containing hazardous substances</t>
  </si>
  <si>
    <t>wastes from additives other than those mentioned in 07 02 14</t>
  </si>
  <si>
    <t>wastes containing silicones</t>
  </si>
  <si>
    <t>Waste containing silicones other than those mentioned in 07 02 16</t>
  </si>
  <si>
    <t>sludges from on-site effluent treatment other than those mentioned in 07 03 11</t>
  </si>
  <si>
    <t>sludges from on-site effluent treatment other than those mentioned in 07 04 11</t>
  </si>
  <si>
    <t>solid wastes containing hazardous substances</t>
  </si>
  <si>
    <t>sludges from on-site effluent treatment other than those mentioned in 07 05 11</t>
  </si>
  <si>
    <t>solid wastes other than those mentioned in 07 05 13</t>
  </si>
  <si>
    <t>sludges from on-site effluent treatment other than those mentioned in 07 06 11</t>
  </si>
  <si>
    <t>sludges from on-site effluent treatment other than those mentioned in 07 07 11</t>
  </si>
  <si>
    <t>Manufacture, supply and use of coatings, adhesives, sealants and printing inks</t>
  </si>
  <si>
    <t>waste paint and varnish containing organic solvents or other hazardous substances</t>
  </si>
  <si>
    <t>waste paint and varnish other than those mentioned in 08 01 11</t>
  </si>
  <si>
    <t>sludges from paint or varnish containing organic solvents or other hazardous substances</t>
  </si>
  <si>
    <t>sludges from paint or varnish other than those mentioned in 08 01 13</t>
  </si>
  <si>
    <t>aqueous sludges containing paint or varnish containing organic solvents or other hazardous substances</t>
  </si>
  <si>
    <t>aqueous sludges containing paint or varnish other than those mentioned in 08 01 15</t>
  </si>
  <si>
    <t>wastes from paint or varnish removal containing organic solvents or other hazardous substances</t>
  </si>
  <si>
    <t>wastes from paint or varnish removal other than those mentioned in 08 01 17</t>
  </si>
  <si>
    <t>aqueous suspensions containing paint or varnish containing organic solvents or other hazardous substances</t>
  </si>
  <si>
    <t>aqueous suspensions containing paint or varnish other than those mentioned in 08 01 19</t>
  </si>
  <si>
    <t>waste paint or varnish remover</t>
  </si>
  <si>
    <t>waste coating powders</t>
  </si>
  <si>
    <t>aqueous sludges containing ceramic materials</t>
  </si>
  <si>
    <t>aqueous suspensions containing ceramic materials</t>
  </si>
  <si>
    <t>aqueous sludges containing ink</t>
  </si>
  <si>
    <t>aqueous liquid waste containing ink</t>
  </si>
  <si>
    <t>waste ink containing hazardous substances</t>
  </si>
  <si>
    <t>waste ink other than those mentioned in 08 03 12</t>
  </si>
  <si>
    <t>ink sludges containing hazardous substances</t>
  </si>
  <si>
    <t>ink sludges other than those mentioned in 08 03 14</t>
  </si>
  <si>
    <t>waste etching solutions</t>
  </si>
  <si>
    <t>waste printing toner containing hazardous substances</t>
  </si>
  <si>
    <t>waste printing toner other than those mentioned in 08 03 17</t>
  </si>
  <si>
    <t>disperse oil</t>
  </si>
  <si>
    <t>waste adhesives and sealants containing organic solvents or other hazardous substances</t>
  </si>
  <si>
    <t>waste adhesives and sealants other than those mentioned in 08 04 09</t>
  </si>
  <si>
    <t>adhesive and sealant sludges containing organic solvents or other hazardous substances</t>
  </si>
  <si>
    <t>adhesive and sealant sludges other than those mentioned in 08 04 11</t>
  </si>
  <si>
    <t>aqueous sludges containing adhesives or sealants containing organic solvents or other hazardous substances</t>
  </si>
  <si>
    <t>aqueous sludges containing adhesives or sealants other than those mentioned in 08 04 13</t>
  </si>
  <si>
    <t>aqueous liquid waste containing adhesives or sealants containing organic solvents or other hazardous substances</t>
  </si>
  <si>
    <t>aqueous liquid waste containing adhesives or sealants other than those mentioned in 08 04 15</t>
  </si>
  <si>
    <t>rosin oil</t>
  </si>
  <si>
    <t>waste isocyanates</t>
  </si>
  <si>
    <t>Photographic industry</t>
  </si>
  <si>
    <t>water-based developer and activator solutions</t>
  </si>
  <si>
    <t>water-based offset plate developer solutions</t>
  </si>
  <si>
    <t>solvent-based developer solutions</t>
  </si>
  <si>
    <t>fixer solutions</t>
  </si>
  <si>
    <t>bleach solutions and bleach fixer solutions</t>
  </si>
  <si>
    <t>wastes containing silver from on-site treatment of photographic wastes</t>
  </si>
  <si>
    <t>photographic film and paper containing silver or silver compounds</t>
  </si>
  <si>
    <t>photographic film and paper free of silver or silver compounds</t>
  </si>
  <si>
    <t>single-use cameras without batteries</t>
  </si>
  <si>
    <t>single-use cameras containing batteries included in 16 06 01, 16 06 02 or 16 06 03</t>
  </si>
  <si>
    <t>single-use cameras containing batteries other than those mentioned in 09 01 11</t>
  </si>
  <si>
    <t>aqueous liquid waste from on-site reclamation of silver other than those mentioned in 09 01 06</t>
  </si>
  <si>
    <t>Thermal processes</t>
  </si>
  <si>
    <t>bottom ash, slag and boiler dust (excluding boiler dust mentioned in 10 01 04)</t>
  </si>
  <si>
    <t>coal fly ash</t>
  </si>
  <si>
    <t>fly ash from peat and untreated wood</t>
  </si>
  <si>
    <t>oil fly ash and boiler dust</t>
  </si>
  <si>
    <t>calcium-based reaction wastes from flue-gas desulphurisation in solid form</t>
  </si>
  <si>
    <t>calcium-based reaction wastes from flue-gas desulphurisation in sludge form</t>
  </si>
  <si>
    <t>sulphuric acid</t>
  </si>
  <si>
    <t>fly ash from emulsified hydrocarbons used as fuel</t>
  </si>
  <si>
    <t>bottom ash, slag and boiler dust from co-incineration containing hazardous substances</t>
  </si>
  <si>
    <t>bottom ash, slag and boiler dust from co-incineration other than those mentioned in 10 01 14</t>
  </si>
  <si>
    <t>fly ash from co-incineration containing hazardous substances</t>
  </si>
  <si>
    <t>fly ash from co-incineration other than those mentioned in 10 01 16</t>
  </si>
  <si>
    <t>wastes from gas cleaning containing hazardous substances</t>
  </si>
  <si>
    <t>wastes from gas cleaning other than those mentioned in 10 01 05, 10 01 07 and 10 01 18</t>
  </si>
  <si>
    <t>sludges from on-site effluent treatment other than those mentioned in 10 01 20</t>
  </si>
  <si>
    <t>aqueous sludges from boiler cleansing containing hazardous substances</t>
  </si>
  <si>
    <t>aqueous sludges from boiler cleansing other than those mentioned in 10 01 22</t>
  </si>
  <si>
    <t>sands from fluidised beds</t>
  </si>
  <si>
    <t>wastes from fuel storage and preparation of coal-fired power plants</t>
  </si>
  <si>
    <t>wastes from cooling-water treatment</t>
  </si>
  <si>
    <t>wastes from the processing of slag</t>
  </si>
  <si>
    <t>unprocessed slag</t>
  </si>
  <si>
    <t>solid wastes from gas treatment containing hazardous substances</t>
  </si>
  <si>
    <t>solid wastes from gas treatment other than those mentioned in 10 02 07</t>
  </si>
  <si>
    <t>mill scales</t>
  </si>
  <si>
    <t>wastes from cooling-water treatment containing oil</t>
  </si>
  <si>
    <t>wastes from cooling-water treatment other than those mentioned in 10 02 11</t>
  </si>
  <si>
    <t>sludges and filter cakes from gas treatment containing hazardous substances</t>
  </si>
  <si>
    <t>sludges and filter cakes from gas treatment other than those mentioned in 10 02 13</t>
  </si>
  <si>
    <t>other sludges and filter cakes</t>
  </si>
  <si>
    <t>anode scraps</t>
  </si>
  <si>
    <t>primary production slags</t>
  </si>
  <si>
    <t>waste alumina</t>
  </si>
  <si>
    <t>salt slags from secondary production</t>
  </si>
  <si>
    <t>black drosses from secondary production</t>
  </si>
  <si>
    <t>skimmings that are flammable or emit, upon contact with water, flammable gases in hazardous quantities</t>
  </si>
  <si>
    <t>skimmings other than those mentioned in 10 03 15</t>
  </si>
  <si>
    <t>tar-containing wastes from anode manufacture</t>
  </si>
  <si>
    <t>carbon-containing wastes from anode manufacture other than those mentioned in 10 03 17</t>
  </si>
  <si>
    <t>flue-gas dust containing hazardous substances</t>
  </si>
  <si>
    <t>flue-gas dust other than those mentioned in 10 03 19</t>
  </si>
  <si>
    <t>other particulates and dust (including ball-mill dust) containing hazardous substances</t>
  </si>
  <si>
    <t>other particulates and dust (including ball-mill dust) other than those mentioned in 10 03 21</t>
  </si>
  <si>
    <t>solid wastes from gas treatment other than those mentioned in 10 03 23</t>
  </si>
  <si>
    <t>sludges and filter cakes from gas treatment other than those mentioned in 10 03 25</t>
  </si>
  <si>
    <t>wastes from cooling-water treatment other than those mentioned in 10 03 27</t>
  </si>
  <si>
    <t>wastes from treatment of salt slags and black drosses containing hazardous substances</t>
  </si>
  <si>
    <t>wastes from treatment of salt slags and black drosses other than those mentioned in 10 03 29</t>
  </si>
  <si>
    <t>slags from primary and secondary production</t>
  </si>
  <si>
    <t>dross and skimmings from primary and secondary production</t>
  </si>
  <si>
    <t>calcium arsenate</t>
  </si>
  <si>
    <t>flue-gas dust</t>
  </si>
  <si>
    <t>other particulates and dust</t>
  </si>
  <si>
    <t>solid wastes from gas treatment</t>
  </si>
  <si>
    <t>sludges and filter cakes from gas treatment</t>
  </si>
  <si>
    <t>wastes from cooling-water treatment other than those mentioned in 10 04 09</t>
  </si>
  <si>
    <t>solid waste from gas treatment</t>
  </si>
  <si>
    <t>wastes from cooling-water treatment other than those mentioned in 10 05 08</t>
  </si>
  <si>
    <t>dross and skimmings that are flammable or emit, upon contact with water, flammable gases in hazardous quantities</t>
  </si>
  <si>
    <t>dross and skimmings other than those mentioned in 10 05 10</t>
  </si>
  <si>
    <t>wastes from cooling-water treatment other than those mentioned in 10 06 09</t>
  </si>
  <si>
    <t>wastes from cooling-water treatment other than those mentioned in 10 07 07</t>
  </si>
  <si>
    <t>particulates and dust</t>
  </si>
  <si>
    <t>salt slag from primary and secondary production</t>
  </si>
  <si>
    <t>other slags</t>
  </si>
  <si>
    <t>dross and skimmings other than those mentioned in 10 08 10</t>
  </si>
  <si>
    <t>carbon-containing wastes from anode manufacture other than those mentioned in 10 08 12</t>
  </si>
  <si>
    <t>anode scrap</t>
  </si>
  <si>
    <t>flue-gas dust other than those mentioned in 10 08 15</t>
  </si>
  <si>
    <t>sludges and filter cakes from flue-gas treatment containing hazardous substances</t>
  </si>
  <si>
    <t>sludges and filter cakes from flue-gas treatment other than those mentioned in 10 08 17</t>
  </si>
  <si>
    <t>wastes from cooling-water treatment other than those mentioned in 10 08 19</t>
  </si>
  <si>
    <t>furnace slag</t>
  </si>
  <si>
    <t>casting cores and moulds which have not undergone pouring containing hazardous substances</t>
  </si>
  <si>
    <t>casting cores and moulds which have not undergone pouring other than those mentioned in 10 09 05</t>
  </si>
  <si>
    <t>casting cores and moulds which have undergone pouring containing hazardous substances</t>
  </si>
  <si>
    <t>casting cores and moulds which have undergone pouring other than those mentioned in 10 09 07</t>
  </si>
  <si>
    <t>flue-gas dust other than those mentioned in 10 09 09</t>
  </si>
  <si>
    <t>other particulates containing hazardous substances</t>
  </si>
  <si>
    <t>other particulates other than those mentioned in 10 09 11</t>
  </si>
  <si>
    <t>waste binders containing hazardous substances</t>
  </si>
  <si>
    <t>waste binders other than those mentioned in 10 09 13</t>
  </si>
  <si>
    <t>waste crack-indicating agent containing hazardous substances</t>
  </si>
  <si>
    <t>waste crack-indicating agent other than those mentioned in 10 09 15</t>
  </si>
  <si>
    <t>casting cores and moulds which have not undergone pouring, containing hazardous substances</t>
  </si>
  <si>
    <t>casting cores and moulds which have not undergone pouring, other than those mentioned in 10 10 05</t>
  </si>
  <si>
    <t>casting cores and moulds which have undergone pouring, containing hazardous substances</t>
  </si>
  <si>
    <t>casting cores and moulds which have undergone pouring, other than those mentioned in 10 10 07</t>
  </si>
  <si>
    <t>flue-gas dust other than those mentioned in 10 10 09</t>
  </si>
  <si>
    <t>other particulates other than those mentioned in 10 10 11</t>
  </si>
  <si>
    <t>waste binders other than those mentioned in 10 10 13</t>
  </si>
  <si>
    <t>waste crack-indicating agent other than those mentioned in 10 10 15</t>
  </si>
  <si>
    <t>waste glass-based fibrous materials</t>
  </si>
  <si>
    <t>waste preparation mixture before thermal processing, containing hazardous substances</t>
  </si>
  <si>
    <t>waste preparation mixture before thermal processing, other than those mentioned in 10 11 09</t>
  </si>
  <si>
    <t>waste glass in small particles and glass powder containing heavy metals (for example from cathode ray tubes)</t>
  </si>
  <si>
    <t>waste glass other than those mentioned in 10 11 11</t>
  </si>
  <si>
    <t>glass-polishing and -grinding sludge containing hazardous substances</t>
  </si>
  <si>
    <t>glass-polishing and -grinding sludge other than those mentioned in 10 11 13</t>
  </si>
  <si>
    <t>solid wastes from flue-gas treatment containing hazardous substances</t>
  </si>
  <si>
    <t>solid wastes from flue-gas treatment other than those mentioned in 10 11 15</t>
  </si>
  <si>
    <t>sludges and filter cakes from flue-gas treatment other than those mentioned in 10 11 17</t>
  </si>
  <si>
    <t>solid wastes from on-site effluent treatment containing hazardous substances</t>
  </si>
  <si>
    <t>solid wastes from on-site effluent treatment other than those mentioned in 10 11 19</t>
  </si>
  <si>
    <t>waste preparation mixture before thermal processing</t>
  </si>
  <si>
    <t>discarded moulds</t>
  </si>
  <si>
    <t>waste ceramics, bricks, tiles and construction products (after thermal processing)</t>
  </si>
  <si>
    <t>solid wastes from gas treatment other than those mentioned in 10 12 09</t>
  </si>
  <si>
    <t>wastes from glazing containing heavy metals</t>
  </si>
  <si>
    <t>wastes from glazing other than those mentioned in 10 12 11</t>
  </si>
  <si>
    <t>sludge from on-site effluent treatment</t>
  </si>
  <si>
    <t>wastes from calcination and hydration of lime</t>
  </si>
  <si>
    <t>particulates and dust (except 10 13 12 and 10 13 13)</t>
  </si>
  <si>
    <t>wastes from asbestos-cement manufacture containing asbestos</t>
  </si>
  <si>
    <t>wastes from asbestos-cement manufacture other than those mentioned in 10 13 09</t>
  </si>
  <si>
    <t>wastes from cement-based composite materials other than those mentioned in 10 13 09 and 10 13 10</t>
  </si>
  <si>
    <t>solid wastes from gas treatment other than those mentioned in 10 13 12</t>
  </si>
  <si>
    <t>waste concrete and concrete sludge</t>
  </si>
  <si>
    <t>waste from gas cleaning containing mercury</t>
  </si>
  <si>
    <t>Chemical surface treatment of metals and other materials</t>
  </si>
  <si>
    <t>pickling acids</t>
  </si>
  <si>
    <t>acids not otherwise specified</t>
  </si>
  <si>
    <t>pickling bases</t>
  </si>
  <si>
    <t>phosphatising sludges</t>
  </si>
  <si>
    <t>sludges and filter cakes containing hazardous substances</t>
  </si>
  <si>
    <t>sludges and filter cakes other than those mentioned in 11 01 09</t>
  </si>
  <si>
    <t>aqueous rinsing liquids containing hazardous substances</t>
  </si>
  <si>
    <t>aqueous rinsing liquids other than those mentioned in 11 01 11</t>
  </si>
  <si>
    <t>degreasing wastes containing hazardous substances</t>
  </si>
  <si>
    <t>degreasing wastes other than those mentioned in 11 01 13</t>
  </si>
  <si>
    <t>eluate and sludges from membrane systems or ion exchange systems containing hazardous substances</t>
  </si>
  <si>
    <t>saturated or spent ion exchange resins</t>
  </si>
  <si>
    <t>other wastes containing hazardous substances</t>
  </si>
  <si>
    <t>sludges from zinc hydrometallurgy (including jarosite, goethite)</t>
  </si>
  <si>
    <t>wastes from the production of anodes for aqueous electrolytical processes</t>
  </si>
  <si>
    <t>wastes from copper hydrometallurgical processes containing hazardous substances</t>
  </si>
  <si>
    <t>wastes from copper hydrometallurgical processes other than those mentioned in 11 02 05</t>
  </si>
  <si>
    <t>wastes containing cyanide</t>
  </si>
  <si>
    <t>other wastes</t>
  </si>
  <si>
    <t>hard zinc</t>
  </si>
  <si>
    <t>zinc ash</t>
  </si>
  <si>
    <t>spent flux</t>
  </si>
  <si>
    <t>Shaping and surface treatment of metals and plastics</t>
  </si>
  <si>
    <t>ferrous metal filings and turnings</t>
  </si>
  <si>
    <t>ferrous metal dust and particles</t>
  </si>
  <si>
    <t>non-ferrous metal filings and turnings</t>
  </si>
  <si>
    <t>non-ferrous metal dust and particles</t>
  </si>
  <si>
    <t>plastics shavings and turnings</t>
  </si>
  <si>
    <t>mineral-based machining oils containing halogens (except emulsions and solutions)</t>
  </si>
  <si>
    <t>mineral-based machining oils free of halogens (except emulsions and solutions)</t>
  </si>
  <si>
    <t>machining emulsions and solutions containing halogens</t>
  </si>
  <si>
    <t>machining emulsions and solutions free of halogens</t>
  </si>
  <si>
    <t>synthetic machining oils</t>
  </si>
  <si>
    <t>spent waxes and fats</t>
  </si>
  <si>
    <t>welding wastes</t>
  </si>
  <si>
    <t>machining sludges containing hazardous substances</t>
  </si>
  <si>
    <t>machining sludges other than those mentioned in 12 01 14</t>
  </si>
  <si>
    <t>waste blasting material containing hazardous substances</t>
  </si>
  <si>
    <t>waste blasting material other than those mentioned in 12 01 16</t>
  </si>
  <si>
    <t>metal sludge (grinding, honing and lapping sludge) containing oil</t>
  </si>
  <si>
    <t>readily biodegradable machining oil</t>
  </si>
  <si>
    <t>spent grinding bodies and grinding materials containing hazardous substances</t>
  </si>
  <si>
    <t>spent grinding bodies and grinding materials other than those mentioned in 12 01 20</t>
  </si>
  <si>
    <t>aqueous washing liquids</t>
  </si>
  <si>
    <t>steam degreasing wastes</t>
  </si>
  <si>
    <t>Oil liquid fuel waste</t>
  </si>
  <si>
    <t>hydraulic oils, containing PCBs</t>
  </si>
  <si>
    <t>chlorinated emulsions</t>
  </si>
  <si>
    <t>non-chlorinated emulsions</t>
  </si>
  <si>
    <t>mineral-based chlorinated hydraulic oils</t>
  </si>
  <si>
    <t>mineral based non-chlorinated hydraulic oils</t>
  </si>
  <si>
    <t>synthetic hydraulic oils</t>
  </si>
  <si>
    <t>readily biodegradable hydraulic oils</t>
  </si>
  <si>
    <t>other hydraulic oils</t>
  </si>
  <si>
    <t>mineral-based chlorinated engine, gear and lubricating oils</t>
  </si>
  <si>
    <t>mineral-based non-chlorinated engine, gear and lubricating oils</t>
  </si>
  <si>
    <t>synthetic engine, gear and lubricating oils</t>
  </si>
  <si>
    <t>readily biodegradable engine, gear and lubricating oils</t>
  </si>
  <si>
    <t>other engine, gear and lubricating oils</t>
  </si>
  <si>
    <t>insulating or heat transmission oils containing PCBs</t>
  </si>
  <si>
    <t>mineral-based chlorinated insulating and heat transmission oils other than those mentioned in 13 03 01</t>
  </si>
  <si>
    <t>mineral-based non-chlorinated insulating and heat transmission oils</t>
  </si>
  <si>
    <t>synthetic insulating and heat transmission oils</t>
  </si>
  <si>
    <t>readily biodegradable insulating and heat transmission oils</t>
  </si>
  <si>
    <t>other insulating and heat transmission oils</t>
  </si>
  <si>
    <t>bilge oils from inland navigation</t>
  </si>
  <si>
    <t>bilge oils from jetty sewers</t>
  </si>
  <si>
    <t>bilge oils from other navigation</t>
  </si>
  <si>
    <t>solids from grit chambers and oil/water separators</t>
  </si>
  <si>
    <t>sludges from oil/water separators</t>
  </si>
  <si>
    <t>interceptor sludges</t>
  </si>
  <si>
    <t>oil from oil/water separators</t>
  </si>
  <si>
    <t>oily water from oil/water separators</t>
  </si>
  <si>
    <t>mixtures of wastes from grit chambers and oil/water separators</t>
  </si>
  <si>
    <t>fuel oil and diesel</t>
  </si>
  <si>
    <t>petrol</t>
  </si>
  <si>
    <t>other fuels (including mixtures)</t>
  </si>
  <si>
    <t>desalter sludges or emulsions</t>
  </si>
  <si>
    <t>other emulsions</t>
  </si>
  <si>
    <t>Organic solvents, refrigerants and propellants</t>
  </si>
  <si>
    <t>chlorofluorocarbons, HCFC, HFC</t>
  </si>
  <si>
    <t>other halogenated solvents and solvent mixtures</t>
  </si>
  <si>
    <t>other solvents and solvent mixtures</t>
  </si>
  <si>
    <t>sludges or solid wastes containing halogenated solvents</t>
  </si>
  <si>
    <t>sludges or solid wastes containing other solvents</t>
  </si>
  <si>
    <t>Packaging, absorbents, wiping cloths and filters</t>
  </si>
  <si>
    <t>paper and cardboard packaging</t>
  </si>
  <si>
    <t>plastic packaging</t>
  </si>
  <si>
    <t>wooden packaging</t>
  </si>
  <si>
    <t>metallic packaging</t>
  </si>
  <si>
    <t>composite packaging</t>
  </si>
  <si>
    <t>mixed packaging</t>
  </si>
  <si>
    <t>glass packaging</t>
  </si>
  <si>
    <t>textile packaging</t>
  </si>
  <si>
    <t>packaging containing residues of or contaminated by hazardous substances</t>
  </si>
  <si>
    <t>metallic packaging containing a hazardous solid porous matrix (for example asbestos), including empty pressure containers</t>
  </si>
  <si>
    <t>absorbents, filter materials (including oil filters not otherwise specified), wiping cloths, protective clothing contaminated by hazardous substances</t>
  </si>
  <si>
    <t>absorbents, filter materials, wiping cloths and protective clothing other than those mentioned in 15 02 02</t>
  </si>
  <si>
    <t>Other industrial wastes</t>
  </si>
  <si>
    <t>end-of-life tyres</t>
  </si>
  <si>
    <t>end-of-life vehicles</t>
  </si>
  <si>
    <t>end-of-life vehicles, containing neither liquids nor other hazardous components</t>
  </si>
  <si>
    <t>oil filters</t>
  </si>
  <si>
    <t>components containing mercury</t>
  </si>
  <si>
    <t>components containing PCBs</t>
  </si>
  <si>
    <t>explosive components (for example air bags)</t>
  </si>
  <si>
    <t>brake pads containing asbestos</t>
  </si>
  <si>
    <t>brake pads other than those mentioned in 16 01 11</t>
  </si>
  <si>
    <t>brake fluids</t>
  </si>
  <si>
    <t>antifreeze fluids containing hazardous substances</t>
  </si>
  <si>
    <t>antifreeze fluids other than those mentioned in 16 01 14</t>
  </si>
  <si>
    <t>tanks for liquefied gas</t>
  </si>
  <si>
    <t>ferrous metal</t>
  </si>
  <si>
    <t>non-ferrous metal</t>
  </si>
  <si>
    <t>plastic</t>
  </si>
  <si>
    <t>glass</t>
  </si>
  <si>
    <t>hazardous components other than those mentioned in 16 01 07 to 16 01 11 and 16 01 13 and 16 01 14</t>
  </si>
  <si>
    <t>components not otherwise specified</t>
  </si>
  <si>
    <t>transformers and capacitors containing PCBs</t>
  </si>
  <si>
    <t>discarded equipment containing or contaminated by PCBs other than those mentioned in 16 02 09</t>
  </si>
  <si>
    <t>discarded equipment containing chlorofluorocarbons, HCFC, HFC</t>
  </si>
  <si>
    <t>discarded equipment containing free asbestos</t>
  </si>
  <si>
    <t>discarded equipment containing hazardous components other than those mentioned in 16 02 09 to 16 02 12</t>
  </si>
  <si>
    <t>discarded equipment other than those mentioned in 16 02 09 to 16 02 13</t>
  </si>
  <si>
    <t>hazardous components removed from discarded equipment</t>
  </si>
  <si>
    <t>components removed from discarded equipment other than those mentioned in 16 02 15</t>
  </si>
  <si>
    <t>inorganic wastes containing hazardous substances</t>
  </si>
  <si>
    <t>inorganic wastes other than those mentioned in 16 03 03</t>
  </si>
  <si>
    <t>organic wastes containing hazardous substances</t>
  </si>
  <si>
    <t>organic wastes other than those mentioned in 16 03 05</t>
  </si>
  <si>
    <t>metallic mercury</t>
  </si>
  <si>
    <t>waste ammunition</t>
  </si>
  <si>
    <t>fireworks wastes</t>
  </si>
  <si>
    <t>other waste explosives</t>
  </si>
  <si>
    <t>gases in pressure containers (including halons) containing hazardous substances</t>
  </si>
  <si>
    <t>gases in pressure containers other than those mentioned in 16 05 04</t>
  </si>
  <si>
    <t>laboratory chemicals, consisting of or containing hazardous substances, including mixtures of laboratory chemicals</t>
  </si>
  <si>
    <t>discarded inorganic chemicals consisting of or containing hazardous substances</t>
  </si>
  <si>
    <t>discarded organic chemicals consisting of or containing hazardous substances</t>
  </si>
  <si>
    <t>discarded chemicals other than those mentioned in 16 05 06, 16 05 07 or 16 05 08</t>
  </si>
  <si>
    <t>lead batteries</t>
  </si>
  <si>
    <t>Ni-Cd batteries</t>
  </si>
  <si>
    <t>mercury-containing batteries</t>
  </si>
  <si>
    <t>alkaline batteries (except 16 06 03)</t>
  </si>
  <si>
    <t>other batteries and accumulators</t>
  </si>
  <si>
    <t>separately collected electrolyte from batteries and accumulators</t>
  </si>
  <si>
    <t>wastes containing oil</t>
  </si>
  <si>
    <t>wastes containing other hazardous substances</t>
  </si>
  <si>
    <t>spent catalysts containing gold, silver, rhenium, rhodium, palladium, iridium or platinum (except 16 08 07)</t>
  </si>
  <si>
    <t>spent catalysts containing hazardous transition metals or hazardous transition metal compounds</t>
  </si>
  <si>
    <t>spent catalysts containing transition metals or transition metal compounds not otherwise specified</t>
  </si>
  <si>
    <t>spent fluid catalytic cracking catalysts (except 16 08 07)</t>
  </si>
  <si>
    <t>spent catalysts containing phosphoric acid</t>
  </si>
  <si>
    <t>spent liquids used as catalysts</t>
  </si>
  <si>
    <t>spent catalysts contaminated with hazardous substances</t>
  </si>
  <si>
    <t>permanganates, for example potassium permanganate</t>
  </si>
  <si>
    <t>chromates, for example potassium chromate, potassium or sodium dichromate</t>
  </si>
  <si>
    <t>peroxides, for example hydrogen peroxide</t>
  </si>
  <si>
    <t>oxidising substances, not otherwise specified</t>
  </si>
  <si>
    <t>aqueous liquid wastes containing hazardous substances</t>
  </si>
  <si>
    <t>aqueous liquid wastes other than those mentioned in 16 10 01 incl cesspit sludge</t>
  </si>
  <si>
    <t>aqueous concentrates containing hazardous substances</t>
  </si>
  <si>
    <t>aqueous concentrates other than those mentioned in 16 10 03</t>
  </si>
  <si>
    <t>carbon-based linings and refractories from metallurgical processes containing hazardous substances</t>
  </si>
  <si>
    <t>carbon-based linings and refractories from metallurgical processes others than those mentioned in 16 11 01</t>
  </si>
  <si>
    <t>other linings and refractories from metallurgical processes containing hazardous substances</t>
  </si>
  <si>
    <t>other linings and refractories from metallurgical processes other than those mentioned in 16 11 03</t>
  </si>
  <si>
    <t>linings and refractories from non-metallurgical processes containing hazardous substances</t>
  </si>
  <si>
    <t>linings and refractories from non-metallurgical processes others than those mentioned in 16 11 05</t>
  </si>
  <si>
    <t>Construction and demolition wastes</t>
  </si>
  <si>
    <t>concrete</t>
  </si>
  <si>
    <t>bricks</t>
  </si>
  <si>
    <t>tiles and ceramics</t>
  </si>
  <si>
    <t>mixtures of, or separate fractions of concrete, bricks, tiles and ceramics containing hazardous substances</t>
  </si>
  <si>
    <t>mixtures of concrete, bricks, tiles and ceramics other than those mentioned in 17 01 06</t>
  </si>
  <si>
    <t>wood</t>
  </si>
  <si>
    <t>glass, plastic and wood containing or contaminated with hazardous substances</t>
  </si>
  <si>
    <t>bituminous mixtures containing coal tar</t>
  </si>
  <si>
    <t>bituminous mixtures other than those mentioned in 17 03 01</t>
  </si>
  <si>
    <t>coal tar and tarred products</t>
  </si>
  <si>
    <t>copper, bronze, brass</t>
  </si>
  <si>
    <t>aluminium</t>
  </si>
  <si>
    <t>lead</t>
  </si>
  <si>
    <t>zinc</t>
  </si>
  <si>
    <t>iron and steel</t>
  </si>
  <si>
    <t>tin</t>
  </si>
  <si>
    <t>mixed metals</t>
  </si>
  <si>
    <t>metal waste contaminated with hazardous substances</t>
  </si>
  <si>
    <t>cables containing oil, coal tar and other hazardous substances</t>
  </si>
  <si>
    <t>cables other than those mentioned in 17 04 10</t>
  </si>
  <si>
    <t>soil and stones containing hazardous substances</t>
  </si>
  <si>
    <t>soil and stones other than those mentioned in 17 05 03</t>
  </si>
  <si>
    <t>dredging spoil containing hazardous substances</t>
  </si>
  <si>
    <t>dredging spoil other than those mentioned in 17 05 05</t>
  </si>
  <si>
    <t>track ballast containing hazardous substances</t>
  </si>
  <si>
    <t>track ballast other than those mentioned in 17 05 07</t>
  </si>
  <si>
    <t>insulation materials containing asbestos</t>
  </si>
  <si>
    <t>other insulation materials consisting of or containing hazardous substances</t>
  </si>
  <si>
    <t>insulation materials other than those mentioned in 17 06 01 and 17 06 03</t>
  </si>
  <si>
    <t>construction materials containing asbestos</t>
  </si>
  <si>
    <t>gypsum-based construction materials contaminated with hazardous substances</t>
  </si>
  <si>
    <t>gypsum-based construction materials other than those mentioned in 17 08 01</t>
  </si>
  <si>
    <t>construction and demolition wastes containing mercury</t>
  </si>
  <si>
    <t>construction and demolition wastes containing PCB (for example PCB-containing sealants, PCB-containing resin-based floorings, PCB-containing sealed glazing units, PCB-containing capacitors)</t>
  </si>
  <si>
    <t>other construction and demolition wastes (including mixed wastes) containing hazardous substances</t>
  </si>
  <si>
    <t>mixed construction and demolition wastes other than those mentioned in 17 09 01, 17 09 02 and 17 09 03</t>
  </si>
  <si>
    <t>Health care wastes</t>
  </si>
  <si>
    <t>sharps (except 18 01 03)</t>
  </si>
  <si>
    <t>Body parts and organs including blood bags and blood preserves (except 18 01 03)</t>
  </si>
  <si>
    <t>wastes whose collection and disposal is subject to special requirements in order to prevent infection</t>
  </si>
  <si>
    <t>wastes whose collection and disposal is not subject to special requirements in order to prevent infection(for example dressings, plaster casts, linen, disposable clothing, diapers)</t>
  </si>
  <si>
    <t>chemicals consisting of or containing hazardous substances</t>
  </si>
  <si>
    <t>chemicals other than those mentioned in 18 01 06</t>
  </si>
  <si>
    <t>cytotoxic and cytostatic medicines</t>
  </si>
  <si>
    <t>medicines other than those mentioned in 18 01 08</t>
  </si>
  <si>
    <t>amalgam waste from dental care</t>
  </si>
  <si>
    <t>sharps (except 18 02 02)</t>
  </si>
  <si>
    <t>wastes whose collection and disposal is not subject to special requirements in order to prevent infection</t>
  </si>
  <si>
    <t>chemicals other than those mentioned in 18 02 05</t>
  </si>
  <si>
    <t>medicines other than those mentioned in 18 02 07</t>
  </si>
  <si>
    <t>Waste facility and water treatment waste</t>
  </si>
  <si>
    <t>ferrous materials removed from bottom ash</t>
  </si>
  <si>
    <t>filter cake from gas treatment</t>
  </si>
  <si>
    <t>aqueous liquid wastes from gas treatment and other aqueous liquid wastes</t>
  </si>
  <si>
    <t>spent activated carbon from flue-gas treatment</t>
  </si>
  <si>
    <t>bottom ash and slag containing hazardous substances</t>
  </si>
  <si>
    <t>bottom ash and slag other than those mentioned in 19 01 11</t>
  </si>
  <si>
    <t>fly ash containing hazardous substances</t>
  </si>
  <si>
    <t>fly ash other than those mentioned in 19 01 13</t>
  </si>
  <si>
    <t>boiler dust containing hazardous substances</t>
  </si>
  <si>
    <t>boiler dust other than those mentioned in 19 01 15</t>
  </si>
  <si>
    <t>pyrolysis wastes containing hazardous substances</t>
  </si>
  <si>
    <t>pyrolysis wastes other than those mentioned in 19 01 17</t>
  </si>
  <si>
    <t>premixed wastes composed only of non-hazardous wastes</t>
  </si>
  <si>
    <t>premixed wastes composed of at least one hazardous waste</t>
  </si>
  <si>
    <t>sludges from physico/chemical treatment containing hazardous substances</t>
  </si>
  <si>
    <t>sludges from physico/chemical treatment other than those mentioned in 19 02 05</t>
  </si>
  <si>
    <t>oil and concentrates from separation</t>
  </si>
  <si>
    <t>liquid combustible wastes containing hazardous substances</t>
  </si>
  <si>
    <t>solid combustible wastes containing hazardous substances</t>
  </si>
  <si>
    <t>combustible wastes other than those mentioned in 19 02 08 and 19 02 09</t>
  </si>
  <si>
    <t>wastes marked as hazardous, partly stabilised other than 19 03 08</t>
  </si>
  <si>
    <t>stabilised wastes other than those mentioned in 19 03 04</t>
  </si>
  <si>
    <t>wastes marked as hazardous, solidified</t>
  </si>
  <si>
    <t>solidified wastes other than those mentioned in 19 03 06</t>
  </si>
  <si>
    <t>partly stabilised mercury</t>
  </si>
  <si>
    <t>vitrified waste</t>
  </si>
  <si>
    <t>fly ash and other flue-gas treatment wastes</t>
  </si>
  <si>
    <t>non-vitrified solid phase</t>
  </si>
  <si>
    <t>aqueous liquid wastes from vitrified waste tempering</t>
  </si>
  <si>
    <t>non-composted fraction of municipal and similar wastes</t>
  </si>
  <si>
    <t>non-composted fraction of animal and vegetable waste</t>
  </si>
  <si>
    <t>off-specification compost</t>
  </si>
  <si>
    <t>liquor from anaerobic treatment of municipal waste</t>
  </si>
  <si>
    <t>digestate from anaerobic treatment of municipal waste</t>
  </si>
  <si>
    <t>liquor from anaerobic treatment of animal and vegetable waste</t>
  </si>
  <si>
    <t>digestate from anaerobic treatment of animal and vegetable waste</t>
  </si>
  <si>
    <t>landfill leachate containing hazardous substances</t>
  </si>
  <si>
    <t>landfill leachate other than those mentioned in 19 07 02</t>
  </si>
  <si>
    <t>screenings</t>
  </si>
  <si>
    <t>waste from desanding</t>
  </si>
  <si>
    <t>sludges from treatment of urban waste water</t>
  </si>
  <si>
    <t>solutions and sludges from regeneration of ion exchangers</t>
  </si>
  <si>
    <t>membrane system waste containing heavy metals</t>
  </si>
  <si>
    <t>grease and oil mixture from oil/water separation containing edible oil and fats</t>
  </si>
  <si>
    <t>grease and oil mixture from oil/water separation other than those mentioned in 19 08 09</t>
  </si>
  <si>
    <t>sludges containing hazardous substances from biological treatment of industrial waste water</t>
  </si>
  <si>
    <t>sludges from biological treatment of industrial waste water other than those mentioned in 19 08 11</t>
  </si>
  <si>
    <t>sludges containing hazardous substances from other treatment of industrial waste water</t>
  </si>
  <si>
    <t>sludges from other treatment of industrial waste water other than those mentioned in 19 08 13</t>
  </si>
  <si>
    <t>solid waste from primary filtration and screenings</t>
  </si>
  <si>
    <t>sludges from water clarification</t>
  </si>
  <si>
    <t>sludges from decarbonation</t>
  </si>
  <si>
    <t>spent activated carbon</t>
  </si>
  <si>
    <t>iron and steel waste</t>
  </si>
  <si>
    <t>non-ferrous waste</t>
  </si>
  <si>
    <t>fluff-light fraction and dust containing hazardous substances</t>
  </si>
  <si>
    <t>fluff-light fraction and dust other than those mentioned in 19 10 03</t>
  </si>
  <si>
    <t>other fractions containing hazardous substances</t>
  </si>
  <si>
    <t>other fractions other than those mentioned in 19 10 05</t>
  </si>
  <si>
    <t>aqueous liquid wastes</t>
  </si>
  <si>
    <t>wastes from cleaning of fuel with bases</t>
  </si>
  <si>
    <t>sludges from on-site effluent treatment other than those mentioned in 19 11 05</t>
  </si>
  <si>
    <t>wastes from flue-gas cleaning</t>
  </si>
  <si>
    <t>paper and cardboard</t>
  </si>
  <si>
    <t>plastic and rubber</t>
  </si>
  <si>
    <t>wood containing hazardous substances</t>
  </si>
  <si>
    <t>wood other than that mentioned in 19 12 06</t>
  </si>
  <si>
    <t>textiles</t>
  </si>
  <si>
    <t>minerals (for example sand, stones)</t>
  </si>
  <si>
    <t>combustible waste (refuse derived fuel)</t>
  </si>
  <si>
    <t>other wastes (including mixtures of materials) from mechanical treatment of waste containing hazardous substances</t>
  </si>
  <si>
    <t>other wastes (including mixtures of materials) from mechanical treatment of wastes other than those mentioned in 19 12 11</t>
  </si>
  <si>
    <t>solid wastes from soil remediation containing hazardous substances</t>
  </si>
  <si>
    <t>solid wastes from soil remediation other than those mentioned in 19 13 01</t>
  </si>
  <si>
    <t>sludges from soil remediation containing hazardous substances</t>
  </si>
  <si>
    <t>sludges from soil remediation other than those mentioned in 19 13 03</t>
  </si>
  <si>
    <t>sludges from groundwater remediation containing hazardous substances</t>
  </si>
  <si>
    <t>sludges from groundwater remediation other than those mentioned in 19 13 05</t>
  </si>
  <si>
    <t>aqueous liquid wastes and aqueous concentrates from groundwater remediation containing hazardous substances</t>
  </si>
  <si>
    <t>aqueous liquid wastes and aqueous concentrates from groundwater remediation other than those mentioned in 19 13 07</t>
  </si>
  <si>
    <t>Municipal wastes</t>
  </si>
  <si>
    <t>biodegradable kitchen and canteen waste</t>
  </si>
  <si>
    <t>clothes</t>
  </si>
  <si>
    <t>solvents</t>
  </si>
  <si>
    <t>acids</t>
  </si>
  <si>
    <t>alkalines</t>
  </si>
  <si>
    <t>photochemicals</t>
  </si>
  <si>
    <t>pesticides</t>
  </si>
  <si>
    <t>fluorescent tubes and other mercury-containing waste</t>
  </si>
  <si>
    <t>discarded equipment containing chlorofluorocarbons</t>
  </si>
  <si>
    <t>edible oil and fat</t>
  </si>
  <si>
    <t>oil and fat other than those mentioned in 20 01 25</t>
  </si>
  <si>
    <t>paint, inks, adhesives and resins containing hazardous substances</t>
  </si>
  <si>
    <t>paint, inks, adhesives and resins other than those mentioned in 20 01 27</t>
  </si>
  <si>
    <t>detergents containing hazardous substances</t>
  </si>
  <si>
    <t>detergents other than those mentioned in 20 01 29</t>
  </si>
  <si>
    <t>medicines other than those mentioned in 20 01 31</t>
  </si>
  <si>
    <t>batteries and accumulators included in 16 06 01, 16 06 02 or 16 06 03 and unsorted batteries and accumulators containing these batteries</t>
  </si>
  <si>
    <t>batteries and accumulators other than those mentioned in 20 01 33</t>
  </si>
  <si>
    <t>discarded electrical and electronic equipment other than those mentioned in 20 01 21 and 20 01 23 containing hazardous components ( 6 )</t>
  </si>
  <si>
    <t>discarded electrical and electronic equipment other than those mentioned in 20 01 21, 20 01 23 and 20 01 35</t>
  </si>
  <si>
    <t>wood other than that mentioned in 20 01 37</t>
  </si>
  <si>
    <t>plastics</t>
  </si>
  <si>
    <t>metals</t>
  </si>
  <si>
    <t>wastes from chimney sweeping</t>
  </si>
  <si>
    <t>other fractions not otherwise specified</t>
  </si>
  <si>
    <t>biodegradable waste</t>
  </si>
  <si>
    <t>soil and stones</t>
  </si>
  <si>
    <t>other non-biodegradable wastes</t>
  </si>
  <si>
    <t>mixed municipal waste</t>
  </si>
  <si>
    <t>waste from markets</t>
  </si>
  <si>
    <t>street-cleaning residues</t>
  </si>
  <si>
    <t>septic tank sludge</t>
  </si>
  <si>
    <t>waste from sewage cleaning</t>
  </si>
  <si>
    <t>bulky waste</t>
  </si>
  <si>
    <t>municipal wastes not otherwise specified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</si>
</sst>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(&quot;$&quot;* #,##0.00_);_(&quot;$&quot;* \(#,##0.00\);_(&quot;$&quot;* &quot;-&quot;??_);_(@_)"/>
    <numFmt numFmtId="164" formatCode="[$-10409]m/d/yyyy"/>
    <numFmt numFmtId="165" formatCode="0.0"/>
  </numFmts>
  <fonts count="1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b/>
      <sz val="16"/>
      <name val="Calibri"/>
      <family val="2"/>
    </font>
    <font>
      <b/>
      <sz val="18"/>
      <color theme="1"/>
      <name val="Aptos Narrow"/>
      <family val="2"/>
      <scheme val="minor"/>
    </font>
    <font>
      <sz val="10"/>
      <color rgb="FF202122"/>
      <name val="Arial"/>
      <family val="2"/>
    </font>
    <font>
      <b/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10"/>
      <color rgb="FF000000"/>
      <name val="Arial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/>
        <bgColor theme="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thick">
        <color rgb="FFBAE5EF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thick">
        <color rgb="FF3D6B99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10" fillId="0" borderId="0" applyFont="0" applyFill="0" applyBorder="0" applyAlignment="0" applyProtection="0"/>
  </cellStyleXfs>
  <cellXfs count="6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0" borderId="0" xfId="0" applyFont="1" applyAlignment="1">
      <alignment horizontal="left" vertical="center" indent="1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3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5" fillId="0" borderId="3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0" xfId="0" applyFont="1"/>
    <xf numFmtId="0" fontId="8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4" fontId="0" fillId="0" borderId="0" xfId="0" applyNumberFormat="1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0" fontId="1" fillId="2" borderId="7" xfId="0" applyFont="1" applyFill="1" applyBorder="1" applyAlignment="1">
      <alignment horizontal="center" vertical="center" wrapText="1"/>
    </xf>
    <xf numFmtId="0" fontId="9" fillId="9" borderId="8" xfId="0" applyFont="1" applyFill="1" applyBorder="1"/>
    <xf numFmtId="0" fontId="0" fillId="7" borderId="8" xfId="0" applyFill="1" applyBorder="1"/>
    <xf numFmtId="0" fontId="0" fillId="0" borderId="8" xfId="0" applyBorder="1"/>
    <xf numFmtId="0" fontId="0" fillId="7" borderId="7" xfId="0" applyFill="1" applyBorder="1"/>
    <xf numFmtId="0" fontId="9" fillId="9" borderId="0" xfId="0" applyFont="1" applyFill="1"/>
    <xf numFmtId="0" fontId="0" fillId="7" borderId="6" xfId="0" applyFill="1" applyBorder="1"/>
    <xf numFmtId="0" fontId="0" fillId="0" borderId="1" xfId="0" applyBorder="1"/>
    <xf numFmtId="0" fontId="0" fillId="0" borderId="9" xfId="0" applyBorder="1"/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 readingOrder="1"/>
    </xf>
    <xf numFmtId="0" fontId="2" fillId="0" borderId="1" xfId="0" applyFont="1" applyBorder="1" applyAlignment="1">
      <alignment horizontal="center" vertical="center" readingOrder="1"/>
    </xf>
    <xf numFmtId="4" fontId="0" fillId="0" borderId="1" xfId="0" applyNumberFormat="1" applyBorder="1"/>
    <xf numFmtId="44" fontId="0" fillId="0" borderId="1" xfId="1" applyFont="1" applyBorder="1"/>
    <xf numFmtId="4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 readingOrder="1"/>
    </xf>
    <xf numFmtId="164" fontId="2" fillId="0" borderId="1" xfId="0" applyNumberFormat="1" applyFont="1" applyBorder="1" applyAlignment="1">
      <alignment horizontal="center" vertical="top" readingOrder="1"/>
    </xf>
    <xf numFmtId="0" fontId="2" fillId="0" borderId="1" xfId="0" applyFont="1" applyBorder="1" applyAlignment="1">
      <alignment horizontal="center" vertical="top" readingOrder="1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4" fontId="0" fillId="0" borderId="9" xfId="0" applyNumberFormat="1" applyBorder="1" applyAlignment="1">
      <alignment horizontal="center" vertical="center"/>
    </xf>
    <xf numFmtId="44" fontId="0" fillId="0" borderId="9" xfId="1" applyFont="1" applyBorder="1"/>
    <xf numFmtId="165" fontId="0" fillId="0" borderId="1" xfId="0" applyNumberFormat="1" applyBorder="1" applyAlignment="1">
      <alignment horizontal="center" vertical="center"/>
    </xf>
    <xf numFmtId="165" fontId="0" fillId="0" borderId="9" xfId="0" applyNumberFormat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14" fontId="0" fillId="0" borderId="9" xfId="0" applyNumberFormat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164" fontId="2" fillId="0" borderId="9" xfId="0" applyNumberFormat="1" applyFont="1" applyBorder="1" applyAlignment="1">
      <alignment horizontal="center" vertical="center" readingOrder="1"/>
    </xf>
    <xf numFmtId="164" fontId="13" fillId="0" borderId="9" xfId="0" applyNumberFormat="1" applyFont="1" applyBorder="1" applyAlignment="1">
      <alignment horizontal="center" vertical="center" readingOrder="1"/>
    </xf>
    <xf numFmtId="0" fontId="13" fillId="0" borderId="9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</cellXfs>
  <cellStyles count="2">
    <cellStyle name="Currency" xfId="1" builtinId="4"/>
    <cellStyle name="Normal" xfId="0" builtinId="0"/>
  </cellStyles>
  <dxfs count="83"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19" formatCode="m/d/yyyy"/>
      <alignment horizontal="general" vertical="center" textRotation="0" wrapText="0" indent="0" justifyLastLine="0" shrinkToFit="0" readingOrder="0"/>
    </dxf>
    <dxf>
      <numFmt numFmtId="19" formatCode="m/d/yyyy"/>
      <alignment horizontal="general" vertical="center" textRotation="0" wrapText="0" indent="0" justifyLastLine="0" shrinkToFit="0" readingOrder="0"/>
    </dxf>
    <dxf>
      <numFmt numFmtId="19" formatCode="m/d/yyyy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(&quot;$&quot;* #,##0.00_);_(&quot;$&quot;* \(#,##0.00\);_(&quot;$&quot;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65" formatCode="0.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64" formatCode="[$-10409]m/d/yyyy"/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[$-10409]m/d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[$-10409]m/d/yyyy"/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fill>
        <patternFill patternType="solid">
          <fgColor indexed="64"/>
          <bgColor theme="3" tint="0.89999084444715716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PivotStyleLight16">
    <tableStyle name="Table Style 1" pivot="0" count="1" xr9:uid="{1377769F-2548-4A3A-8501-DBE1E20ED2BB}">
      <tableStyleElement type="wholeTable" dxfId="8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4406F74-31B3-4E84-80D7-A9284C46E086}" name="WasteShipmentData" displayName="WasteShipmentData" ref="A2:BB183" totalsRowShown="0" headerRowDxfId="81" headerRowBorderDxfId="80" tableBorderDxfId="79">
  <autoFilter ref="A2:BB183" xr:uid="{34406F74-31B3-4E84-80D7-A9284C46E086}"/>
  <sortState xmlns:xlrd2="http://schemas.microsoft.com/office/spreadsheetml/2017/richdata2" ref="A3:BB182">
    <sortCondition ref="C2:C182"/>
  </sortState>
  <tableColumns count="54">
    <tableColumn id="1" xr3:uid="{773F8BF3-9D74-4371-8C6A-0A7509196332}" name="Byproduct / Service Name" dataDxfId="78"/>
    <tableColumn id="54" xr3:uid="{3CFA2AE1-80BB-4284-AEE9-572C9F3A2EF6}" name="Container Location" dataDxfId="77"/>
    <tableColumn id="2" xr3:uid="{51EC5272-A177-4CB9-A347-6C05D8F855C2}" name="Date Shipped" dataDxfId="76"/>
    <tableColumn id="53" xr3:uid="{234DAD69-A951-4DB3-91FD-46D8E2107EBD}" name="Manifest Number" dataDxfId="75"/>
    <tableColumn id="3" xr3:uid="{4E1CFC3C-6455-4331-9EDC-E07BA0D39924}" name="Return Manifest Date" dataDxfId="74"/>
    <tableColumn id="4" xr3:uid="{54B6D2D0-7C5D-4EA1-8873-940E80F6D5EB}" name="Unit" dataDxfId="73"/>
    <tableColumn id="5" xr3:uid="{E684D6EF-E963-47EB-98A7-A6270E28F455}" name="Qty" dataDxfId="72"/>
    <tableColumn id="6" xr3:uid="{EDFF0C24-2416-4532-992B-FC84E33DBF2D}" name="Weight in lbs per unit" dataDxfId="71"/>
    <tableColumn id="7" xr3:uid="{EE02FB14-B81E-4BD4-A55F-397488D0E87A}" name="Standardized Volume in lbs" dataDxfId="70"/>
    <tableColumn id="8" xr3:uid="{9F489AA4-190C-4BE7-8487-312E260A679B}" name="Standardized Volume in kg" dataDxfId="69">
      <calculatedColumnFormula>WasteShipmentData[[#This Row],[Standardized Volume in lbs]]/2.2</calculatedColumnFormula>
    </tableColumn>
    <tableColumn id="55" xr3:uid="{2BD7E3DB-CD5D-4358-A149-FFB1497A63B5}" name="Target Load Weight (lb)" dataDxfId="68"/>
    <tableColumn id="9" xr3:uid="{6847E23B-E0BA-4D48-91FE-CA42750E8D0A}" name="Waste Type" dataDxfId="67"/>
    <tableColumn id="10" xr3:uid="{9A4F8EAC-A778-4E80-972E-4D3820CF9E22}" name="Waste Codes" dataDxfId="66"/>
    <tableColumn id="11" xr3:uid="{86DC2313-F550-4AFE-8CD7-5E04FAFE8135}" name="Treatment Method" dataDxfId="65"/>
    <tableColumn id="12" xr3:uid="{7CE689A1-2EC2-4A25-9065-56AB66188C71}" name="Source Code" dataDxfId="64"/>
    <tableColumn id="13" xr3:uid="{AFB9AB96-5B89-471C-9DB7-E34FBCC43ED7}" name="Form Code" dataDxfId="63"/>
    <tableColumn id="14" xr3:uid="{531DE5C5-DF19-46F1-85D8-39184465A53A}" name="Treatment Code" dataDxfId="62"/>
    <tableColumn id="15" xr3:uid="{B85B0FFF-F150-40E3-9D52-87C96E4DB3DE}" name="EWC Number" dataDxfId="61"/>
    <tableColumn id="16" xr3:uid="{32917925-0439-4EA3-87A9-4311C5CCA960}" name="Container" dataDxfId="60"/>
    <tableColumn id="17" xr3:uid="{A55BE82B-E25C-4CE2-983B-1F4F4A07FC4D}" name="Service Frequency" dataDxfId="59"/>
    <tableColumn id="18" xr3:uid="{74DDF631-370A-4D9B-9C0F-AC45A9B1F6BD}" name="Profile Number" dataDxfId="58"/>
    <tableColumn id="19" xr3:uid="{EC8AAA51-16F7-4D88-858B-6C98816BAD5F}" name="Customer" dataDxfId="57"/>
    <tableColumn id="20" xr3:uid="{2A40C7C9-28A0-45AF-ACBA-E3C35F87C4C7}" name="Site" dataDxfId="56"/>
    <tableColumn id="21" xr3:uid="{B80C3F14-BDBD-46CC-83D6-D44E69C72CEC}" name="Site Address" dataDxfId="55">
      <calculatedColumnFormula>IF(WasteShipmentData[[#This Row],[Customer]]="","",IF(WasteShipmentData[[#This Row],[Site]]="","",VLOOKUP(WasteShipmentData[[#This Row],[Customer]]&amp;" "&amp;WasteShipmentData[[#This Row],[Site]],Table4[],4,FALSE)))</calculatedColumnFormula>
    </tableColumn>
    <tableColumn id="22" xr3:uid="{E72C65B3-79BF-4FF6-8CFF-DCFC8B04180F}" name="City" dataDxfId="54">
      <calculatedColumnFormula>IF(WasteShipmentData[[#This Row],[Customer]]="","",IF(WasteShipmentData[[#This Row],[Site]]="","",VLOOKUP(WasteShipmentData[[#This Row],[Customer]]&amp;" "&amp;WasteShipmentData[[#This Row],[Site]],Table4[],5,FALSE)))</calculatedColumnFormula>
    </tableColumn>
    <tableColumn id="23" xr3:uid="{5471529C-B888-431B-BFBC-C6A0080DF2EA}" name="State" dataDxfId="53">
      <calculatedColumnFormula>IF(WasteShipmentData[[#This Row],[Customer]]="","",IF(WasteShipmentData[[#This Row],[Site]]="","",VLOOKUP(WasteShipmentData[[#This Row],[Customer]]&amp;" "&amp;WasteShipmentData[[#This Row],[Site]],Table4[],6,FALSE)))</calculatedColumnFormula>
    </tableColumn>
    <tableColumn id="24" xr3:uid="{258B310E-79A5-461B-BA10-1BE2D1B11AE6}" name="Zip Code" dataDxfId="52">
      <calculatedColumnFormula>IF(WasteShipmentData[[#This Row],[Customer]]="","",IF(WasteShipmentData[[#This Row],[Site]]="","",VLOOKUP(WasteShipmentData[[#This Row],[Customer]]&amp;" "&amp;WasteShipmentData[[#This Row],[Site]],Table4[],7,FALSE)))</calculatedColumnFormula>
    </tableColumn>
    <tableColumn id="25" xr3:uid="{B4EA35D3-2C06-4E24-93D7-FEF5220A0209}" name="Receiving Company" dataDxfId="51"/>
    <tableColumn id="26" xr3:uid="{5FE91561-BB93-42B1-AFBB-6AFE816DDCFB}" name="Receiving Facility" dataDxfId="50"/>
    <tableColumn id="27" xr3:uid="{B927B304-9086-4A9A-9DEA-AB3A7CB75AAF}" name="Miles from Facility" dataDxfId="49"/>
    <tableColumn id="28" xr3:uid="{C8A2FCF6-27FD-49FD-9465-1661F0F4A47F}" name="Receiving Facility Address" dataDxfId="48"/>
    <tableColumn id="29" xr3:uid="{5C95C7C1-FC5B-48A7-B5CF-8DF6B3CEEA3B}" name="Receiving Facility  City" dataDxfId="47"/>
    <tableColumn id="30" xr3:uid="{5A5EEF06-8A39-4D47-AD15-DC478F5B476A}" name="Receiving Facility State" dataDxfId="46"/>
    <tableColumn id="31" xr3:uid="{F55E4A0B-44AF-41C9-AA86-3E178CD1455E}" name="Receiving Facility Zip" dataDxfId="45"/>
    <tableColumn id="32" xr3:uid="{68FDF1F8-9DB8-40BA-A754-691343D5E3C9}" name="Receiving Facility EPA ID #" dataDxfId="44"/>
    <tableColumn id="33" xr3:uid="{3101E43E-2F7F-4C45-89D9-CE22ACBF3A54}" name="Transporter" dataDxfId="43"/>
    <tableColumn id="34" xr3:uid="{5E8E4DC4-4AEB-442D-8C05-7C2EDBCC2C94}" name="Haul Charge" dataDxfId="42" dataCellStyle="Currency"/>
    <tableColumn id="35" xr3:uid="{91DBC343-FE57-4DFF-AC3B-69F11944C082}" name="Disposal / Recycling Fee Each" dataDxfId="41" dataCellStyle="Currency"/>
    <tableColumn id="36" xr3:uid="{260AC335-A2ED-4C1D-89E4-711EB952622F}" name="Disposal Fee Total" dataDxfId="40" dataCellStyle="Currency">
      <calculatedColumnFormula>AL3*G3</calculatedColumnFormula>
    </tableColumn>
    <tableColumn id="37" xr3:uid="{510070D9-288D-4A05-B887-1E8BF483C73C}" name="Fuel Fee" dataDxfId="39" dataCellStyle="Currency"/>
    <tableColumn id="38" xr3:uid="{84EE6755-FB9F-4C7A-889E-9A06CAD7179A}" name="Environmental Fee" dataDxfId="38" dataCellStyle="Currency"/>
    <tableColumn id="39" xr3:uid="{55CD55FB-3771-442C-8812-3BF2EEDD87F8}" name="Rebate" dataDxfId="37" dataCellStyle="Currency"/>
    <tableColumn id="40" xr3:uid="{430C10DD-88E4-40D6-9F29-FE9A2216BBDD}" name="Other Fees" dataDxfId="36" dataCellStyle="Currency"/>
    <tableColumn id="41" xr3:uid="{24DF260A-9C35-4C3B-AD37-832DA81D944B}" name="Customer Haul Charge" dataDxfId="35" dataCellStyle="Currency"/>
    <tableColumn id="42" xr3:uid="{3872719C-9876-4779-9B21-7012299BF1CA}" name="Customer Disposal / Recycling Fee Each" dataDxfId="34" dataCellStyle="Currency"/>
    <tableColumn id="43" xr3:uid="{1A2FE068-1AAF-4F07-87A7-71D3A9A0490D}" name="Customer Disposal Fee Total" dataDxfId="33" dataCellStyle="Currency">
      <calculatedColumnFormula>AS3*G3</calculatedColumnFormula>
    </tableColumn>
    <tableColumn id="44" xr3:uid="{91D272A8-9719-4D40-8D06-59C7FA715137}" name="Customer Fuel Fee" dataDxfId="32" dataCellStyle="Currency"/>
    <tableColumn id="45" xr3:uid="{F36FB46A-EE11-4391-825A-26A2174E6528}" name="Customer Environmental Fee" dataDxfId="31" dataCellStyle="Currency"/>
    <tableColumn id="46" xr3:uid="{8480F1C4-D072-40BA-9E5A-532FE90A2FA5}" name="Customer Rebate" dataDxfId="30" dataCellStyle="Currency"/>
    <tableColumn id="47" xr3:uid="{CACE64CD-FE69-4767-8461-4CB1701BCB32}" name="Customer Other Fees" dataDxfId="29" dataCellStyle="Currency"/>
    <tableColumn id="48" xr3:uid="{E4476B9C-9C35-4F65-A746-564BF31EC1CD}" name="Customer 1" dataDxfId="28"/>
    <tableColumn id="49" xr3:uid="{157DB73B-931E-4F89-8DA0-CB3A548A8D49}" name="Customer 2" dataDxfId="27"/>
    <tableColumn id="50" xr3:uid="{A528F940-077E-472A-8C23-E7A5DA5F9EDC}" name="Customer 3" dataDxfId="26"/>
    <tableColumn id="51" xr3:uid="{3AB17552-C4BF-4B72-AD44-03E681E6B396}" name="Notes" dataDxfId="25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26D3BAD-AFEE-44BE-ABB6-B53D42112C47}" name="Table4" displayName="Table4" ref="A1:G6" totalsRowShown="0" headerRowDxfId="24" dataDxfId="23" tableBorderDxfId="22">
  <autoFilter ref="A1:G6" xr:uid="{C26D3BAD-AFEE-44BE-ABB6-B53D42112C47}"/>
  <tableColumns count="7">
    <tableColumn id="1" xr3:uid="{B34CA306-034A-48EA-8BCF-D53DB1949D4C}" name="Cust &amp; Site" dataDxfId="21"/>
    <tableColumn id="2" xr3:uid="{60451D8A-AA40-4C50-9413-B33C734F39CE}" name="Customer" dataDxfId="20"/>
    <tableColumn id="3" xr3:uid="{2D417834-E8E7-479A-ACB7-7781644C64F0}" name="Cust Site" dataDxfId="19"/>
    <tableColumn id="4" xr3:uid="{FD1BAF84-5A2F-4F31-82D5-E71B6F4BB34F}" name="Address" dataDxfId="18"/>
    <tableColumn id="5" xr3:uid="{99951CC9-296A-4CD5-93D7-707B45765BAE}" name="City" dataDxfId="17"/>
    <tableColumn id="6" xr3:uid="{A1C4A7A6-E3E9-42BA-AFB8-1201D9E21DCA}" name="State" dataDxfId="16"/>
    <tableColumn id="7" xr3:uid="{1DD451EE-0AD0-4106-8FB7-798D6F6B5B6B}" name="Zip Code" dataDxfId="1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9E8395-0870-426A-8A02-6823978641F7}" name="Vendor_Table" displayName="Vendor_Table" ref="A1:M439" totalsRowShown="0" headerRowDxfId="14" dataDxfId="13">
  <autoFilter ref="A1:M439" xr:uid="{DC9E8395-0870-426A-8A02-6823978641F7}"/>
  <sortState xmlns:xlrd2="http://schemas.microsoft.com/office/spreadsheetml/2017/richdata2" ref="A2:M439">
    <sortCondition ref="E1:E439"/>
  </sortState>
  <tableColumns count="13">
    <tableColumn id="1" xr3:uid="{C04CE516-EE24-42CE-AFF0-3EC24F69F870}" name="Vendor ID" dataDxfId="12"/>
    <tableColumn id="2" xr3:uid="{188BE606-DCBA-4940-B128-1A3F668FC942}" name="Vendor Name" dataDxfId="11"/>
    <tableColumn id="3" xr3:uid="{265A7AEB-B1AA-42DF-B802-0AEB4026A212}" name="Status" dataDxfId="10"/>
    <tableColumn id="4" xr3:uid="{D4CFAEE0-5D2E-4349-A805-9FE777EE252B}" name="DBE" dataDxfId="9"/>
    <tableColumn id="5" xr3:uid="{AEB8FE65-029B-4143-BB21-F34AEE084455}" name="Commodities (1)" dataDxfId="8"/>
    <tableColumn id="6" xr3:uid="{D6EAB074-BAF6-4F33-83C2-2E35D05D71F6}" name="Commodities (2)" dataDxfId="7"/>
    <tableColumn id="7" xr3:uid="{0E0CA763-0729-4554-AB72-9D9F5C511F74}" name="Risk Level" dataDxfId="6"/>
    <tableColumn id="8" xr3:uid="{C0F8D961-916E-475E-83B5-1C8CE8AE7F60}" name="Supplier Form" dataDxfId="5"/>
    <tableColumn id="9" xr3:uid="{103A85EE-4D52-4FEE-98F0-708F49C29942}" name="Date Entered" dataDxfId="4"/>
    <tableColumn id="10" xr3:uid="{856568B1-3BEF-448E-AE36-968CF34903A1}" name="Date Reviewed" dataDxfId="3"/>
    <tableColumn id="11" xr3:uid="{BA1E84B7-D3A4-46CC-BD5F-2579A4FFAF62}" name="Expiration Date" dataDxfId="2"/>
    <tableColumn id="12" xr3:uid="{15B4D544-237C-4BED-9CBE-3EE644B4DBCF}" name="Reviewed" dataDxfId="1"/>
    <tableColumn id="13" xr3:uid="{31C22144-165E-4738-BCAC-67481B1C1124}" name="Vendor Statu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72F1D-97BF-4E7C-94E2-DB627810274E}">
  <dimension ref="A1:BB260"/>
  <sheetViews>
    <sheetView tabSelected="1" zoomScale="80" zoomScaleNormal="80" workbookViewId="0">
      <selection activeCell="C13" sqref="C13"/>
    </sheetView>
  </sheetViews>
  <sheetFormatPr defaultRowHeight="15" x14ac:dyDescent="0.25"/>
  <cols>
    <col min="1" max="2" width="47.42578125" style="18" customWidth="1"/>
    <col min="3" max="3" width="18" style="18" bestFit="1" customWidth="1"/>
    <col min="4" max="4" width="27.28515625" style="18" customWidth="1"/>
    <col min="5" max="5" width="22" style="18" customWidth="1"/>
    <col min="6" max="6" width="19.28515625" style="18" bestFit="1" customWidth="1"/>
    <col min="7" max="7" width="24.85546875" style="18" bestFit="1" customWidth="1"/>
    <col min="8" max="8" width="24.85546875" style="18" customWidth="1"/>
    <col min="9" max="9" width="40.140625" style="18" bestFit="1" customWidth="1"/>
    <col min="10" max="11" width="40.140625" style="18" customWidth="1"/>
    <col min="12" max="12" width="23.85546875" style="18" bestFit="1" customWidth="1"/>
    <col min="13" max="13" width="24.5703125" style="18" bestFit="1" customWidth="1"/>
    <col min="14" max="15" width="25.28515625" style="18" customWidth="1"/>
    <col min="16" max="16" width="20" bestFit="1" customWidth="1"/>
    <col min="17" max="17" width="41.7109375" style="18" customWidth="1"/>
    <col min="18" max="18" width="30.85546875" style="18" customWidth="1"/>
    <col min="19" max="19" width="22.42578125" style="18" bestFit="1" customWidth="1"/>
    <col min="20" max="21" width="22.42578125" style="18" customWidth="1"/>
    <col min="22" max="22" width="9.85546875" style="18" bestFit="1" customWidth="1"/>
    <col min="23" max="23" width="11.7109375" style="18" bestFit="1" customWidth="1"/>
    <col min="24" max="26" width="26.5703125" style="18" bestFit="1" customWidth="1"/>
    <col min="27" max="27" width="28" style="18" bestFit="1" customWidth="1"/>
    <col min="28" max="30" width="29.140625" style="18" bestFit="1" customWidth="1"/>
    <col min="31" max="34" width="38" bestFit="1" customWidth="1"/>
    <col min="35" max="35" width="38.85546875" customWidth="1"/>
    <col min="36" max="36" width="18.42578125" customWidth="1"/>
    <col min="37" max="37" width="13.7109375" customWidth="1"/>
    <col min="38" max="38" width="28.28515625" customWidth="1"/>
    <col min="39" max="39" width="30" bestFit="1" customWidth="1"/>
    <col min="40" max="40" width="19.7109375" bestFit="1" customWidth="1"/>
    <col min="41" max="41" width="18.7109375" customWidth="1"/>
    <col min="42" max="42" width="20" bestFit="1" customWidth="1"/>
    <col min="43" max="43" width="12.28515625" customWidth="1"/>
    <col min="44" max="44" width="22.7109375" customWidth="1"/>
    <col min="45" max="45" width="37.28515625" customWidth="1"/>
    <col min="46" max="46" width="27.7109375" customWidth="1"/>
    <col min="47" max="47" width="19.28515625" customWidth="1"/>
    <col min="48" max="48" width="27.7109375" customWidth="1"/>
    <col min="49" max="49" width="18.140625" customWidth="1"/>
    <col min="50" max="50" width="21.42578125" customWidth="1"/>
    <col min="51" max="53" width="16.28515625" customWidth="1"/>
    <col min="54" max="54" width="111.7109375" customWidth="1"/>
  </cols>
  <sheetData>
    <row r="1" spans="1:54" ht="30" customHeight="1" x14ac:dyDescent="0.25">
      <c r="A1" s="64" t="s">
        <v>0</v>
      </c>
      <c r="B1" s="64"/>
      <c r="C1" s="64"/>
      <c r="D1" s="64"/>
      <c r="E1" s="64"/>
      <c r="F1" s="64"/>
      <c r="G1" s="64"/>
      <c r="H1" s="63" t="s">
        <v>1</v>
      </c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5" t="s">
        <v>2</v>
      </c>
      <c r="W1" s="65"/>
      <c r="X1" s="65"/>
      <c r="Y1" s="65"/>
      <c r="Z1" s="65"/>
      <c r="AA1" s="65"/>
      <c r="AB1" s="63" t="s">
        <v>3</v>
      </c>
      <c r="AC1" s="63"/>
      <c r="AD1" s="63"/>
      <c r="AE1" s="63"/>
      <c r="AF1" s="63"/>
      <c r="AG1" s="63"/>
      <c r="AH1" s="63"/>
      <c r="AI1" s="63"/>
      <c r="AJ1" s="51" t="s">
        <v>4</v>
      </c>
      <c r="AK1" s="66" t="s">
        <v>5</v>
      </c>
      <c r="AL1" s="66"/>
      <c r="AM1" s="66"/>
      <c r="AN1" s="66"/>
      <c r="AO1" s="66"/>
      <c r="AP1" s="66"/>
      <c r="AQ1" s="66"/>
      <c r="AR1" s="62" t="s">
        <v>6</v>
      </c>
      <c r="AS1" s="62"/>
      <c r="AT1" s="62"/>
      <c r="AU1" s="62"/>
      <c r="AV1" s="62"/>
      <c r="AW1" s="62"/>
      <c r="AX1" s="62"/>
      <c r="AY1" s="63" t="s">
        <v>7</v>
      </c>
      <c r="AZ1" s="63"/>
      <c r="BA1" s="63"/>
      <c r="BB1" s="63"/>
    </row>
    <row r="2" spans="1:54" ht="44.45" customHeight="1" x14ac:dyDescent="0.25">
      <c r="A2" s="54" t="s">
        <v>8</v>
      </c>
      <c r="B2" s="54" t="s">
        <v>9</v>
      </c>
      <c r="C2" s="54" t="s">
        <v>10</v>
      </c>
      <c r="D2" s="54" t="s">
        <v>11</v>
      </c>
      <c r="E2" s="54" t="s">
        <v>12</v>
      </c>
      <c r="F2" s="54" t="s">
        <v>13</v>
      </c>
      <c r="G2" s="54" t="s">
        <v>14</v>
      </c>
      <c r="H2" s="50" t="s">
        <v>15</v>
      </c>
      <c r="I2" s="50" t="s">
        <v>16</v>
      </c>
      <c r="J2" s="50" t="s">
        <v>17</v>
      </c>
      <c r="K2" s="50" t="s">
        <v>18</v>
      </c>
      <c r="L2" s="50" t="s">
        <v>19</v>
      </c>
      <c r="M2" s="50" t="s">
        <v>20</v>
      </c>
      <c r="N2" s="50" t="s">
        <v>21</v>
      </c>
      <c r="O2" s="50" t="s">
        <v>22</v>
      </c>
      <c r="P2" s="50" t="s">
        <v>23</v>
      </c>
      <c r="Q2" s="50" t="s">
        <v>24</v>
      </c>
      <c r="R2" s="50" t="s">
        <v>25</v>
      </c>
      <c r="S2" s="50" t="s">
        <v>26</v>
      </c>
      <c r="T2" s="50" t="s">
        <v>27</v>
      </c>
      <c r="U2" s="50" t="s">
        <v>28</v>
      </c>
      <c r="V2" s="51" t="s">
        <v>29</v>
      </c>
      <c r="W2" s="51" t="s">
        <v>30</v>
      </c>
      <c r="X2" s="51" t="s">
        <v>31</v>
      </c>
      <c r="Y2" s="51" t="s">
        <v>32</v>
      </c>
      <c r="Z2" s="51" t="s">
        <v>33</v>
      </c>
      <c r="AA2" s="51" t="s">
        <v>34</v>
      </c>
      <c r="AB2" s="50" t="s">
        <v>35</v>
      </c>
      <c r="AC2" s="50" t="s">
        <v>36</v>
      </c>
      <c r="AD2" s="50" t="s">
        <v>37</v>
      </c>
      <c r="AE2" s="50" t="s">
        <v>38</v>
      </c>
      <c r="AF2" s="50" t="s">
        <v>39</v>
      </c>
      <c r="AG2" s="50" t="s">
        <v>40</v>
      </c>
      <c r="AH2" s="50" t="s">
        <v>41</v>
      </c>
      <c r="AI2" s="50" t="s">
        <v>42</v>
      </c>
      <c r="AJ2" s="51" t="s">
        <v>4</v>
      </c>
      <c r="AK2" s="52" t="s">
        <v>43</v>
      </c>
      <c r="AL2" s="52" t="s">
        <v>44</v>
      </c>
      <c r="AM2" s="52" t="s">
        <v>45</v>
      </c>
      <c r="AN2" s="52" t="s">
        <v>46</v>
      </c>
      <c r="AO2" s="52" t="s">
        <v>47</v>
      </c>
      <c r="AP2" s="52" t="s">
        <v>48</v>
      </c>
      <c r="AQ2" s="52" t="s">
        <v>49</v>
      </c>
      <c r="AR2" s="53" t="s">
        <v>50</v>
      </c>
      <c r="AS2" s="53" t="s">
        <v>51</v>
      </c>
      <c r="AT2" s="53" t="s">
        <v>52</v>
      </c>
      <c r="AU2" s="53" t="s">
        <v>53</v>
      </c>
      <c r="AV2" s="53" t="s">
        <v>54</v>
      </c>
      <c r="AW2" s="53" t="s">
        <v>55</v>
      </c>
      <c r="AX2" s="53" t="s">
        <v>56</v>
      </c>
      <c r="AY2" s="50" t="s">
        <v>57</v>
      </c>
      <c r="AZ2" s="50" t="s">
        <v>58</v>
      </c>
      <c r="BA2" s="50" t="s">
        <v>59</v>
      </c>
      <c r="BB2" s="50" t="s">
        <v>60</v>
      </c>
    </row>
    <row r="3" spans="1:54" x14ac:dyDescent="0.25">
      <c r="A3" s="33" t="s">
        <v>61</v>
      </c>
      <c r="B3" s="33" t="s">
        <v>62</v>
      </c>
      <c r="C3" s="34">
        <v>45474</v>
      </c>
      <c r="D3" s="33">
        <v>410061</v>
      </c>
      <c r="E3" s="34" t="s">
        <v>63</v>
      </c>
      <c r="F3" s="33" t="s">
        <v>64</v>
      </c>
      <c r="G3" s="35">
        <v>3.56</v>
      </c>
      <c r="H3" s="33">
        <v>2000</v>
      </c>
      <c r="I3" s="33">
        <f t="shared" ref="I3:I29" si="0">G3*2000</f>
        <v>7120</v>
      </c>
      <c r="J3" s="48">
        <f>WasteShipmentData[[#This Row],[Standardized Volume in lbs]]/2.2</f>
        <v>3236.363636363636</v>
      </c>
      <c r="K3" s="48">
        <v>2500</v>
      </c>
      <c r="L3" s="33" t="s">
        <v>65</v>
      </c>
      <c r="M3" s="33" t="s">
        <v>63</v>
      </c>
      <c r="N3" s="33" t="s">
        <v>66</v>
      </c>
      <c r="O3" s="33" t="s">
        <v>63</v>
      </c>
      <c r="P3" s="33" t="s">
        <v>63</v>
      </c>
      <c r="Q3" s="33" t="s">
        <v>63</v>
      </c>
      <c r="R3" s="33" t="s">
        <v>63</v>
      </c>
      <c r="S3" s="33" t="s">
        <v>67</v>
      </c>
      <c r="T3" s="33" t="s">
        <v>68</v>
      </c>
      <c r="U3" s="33" t="s">
        <v>63</v>
      </c>
      <c r="V3" s="33" t="s">
        <v>69</v>
      </c>
      <c r="W3" s="33" t="s">
        <v>70</v>
      </c>
      <c r="X3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3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3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3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3" s="33" t="s">
        <v>71</v>
      </c>
      <c r="AC3" s="33" t="s">
        <v>72</v>
      </c>
      <c r="AD3" s="33">
        <v>12.3</v>
      </c>
      <c r="AE3" s="33" t="s">
        <v>73</v>
      </c>
      <c r="AF3" s="38" t="s">
        <v>74</v>
      </c>
      <c r="AG3" s="38" t="s">
        <v>75</v>
      </c>
      <c r="AH3" s="33">
        <v>37143</v>
      </c>
      <c r="AI3" s="33" t="s">
        <v>63</v>
      </c>
      <c r="AJ3" s="33" t="s">
        <v>71</v>
      </c>
      <c r="AK3" s="37">
        <v>450.98</v>
      </c>
      <c r="AL3" s="37">
        <v>108.58</v>
      </c>
      <c r="AM3" s="37">
        <f t="shared" ref="AM3:AM34" si="1">AL3*G3</f>
        <v>386.54480000000001</v>
      </c>
      <c r="AN3" s="37">
        <v>0</v>
      </c>
      <c r="AO3" s="37">
        <v>0</v>
      </c>
      <c r="AP3" s="37">
        <v>0</v>
      </c>
      <c r="AQ3" s="37">
        <v>0</v>
      </c>
      <c r="AR3" s="37">
        <v>275</v>
      </c>
      <c r="AS3" s="37">
        <v>90</v>
      </c>
      <c r="AT3" s="37">
        <f t="shared" ref="AT3:AT34" si="2">AS3*G3</f>
        <v>320.39999999999998</v>
      </c>
      <c r="AU3" s="47">
        <v>0</v>
      </c>
      <c r="AV3" s="47">
        <v>0</v>
      </c>
      <c r="AW3" s="37">
        <v>0</v>
      </c>
      <c r="AX3" s="37">
        <v>0</v>
      </c>
      <c r="AY3" s="30"/>
      <c r="AZ3" s="30"/>
      <c r="BA3" s="30"/>
      <c r="BB3" s="30"/>
    </row>
    <row r="4" spans="1:54" x14ac:dyDescent="0.25">
      <c r="A4" s="33" t="s">
        <v>61</v>
      </c>
      <c r="B4" s="33" t="s">
        <v>76</v>
      </c>
      <c r="C4" s="34">
        <v>45474</v>
      </c>
      <c r="D4" s="33">
        <v>410060</v>
      </c>
      <c r="E4" s="34" t="s">
        <v>63</v>
      </c>
      <c r="F4" s="33" t="s">
        <v>64</v>
      </c>
      <c r="G4" s="35">
        <v>2.25</v>
      </c>
      <c r="H4" s="33">
        <v>2000</v>
      </c>
      <c r="I4" s="33">
        <f t="shared" si="0"/>
        <v>4500</v>
      </c>
      <c r="J4" s="48">
        <f>WasteShipmentData[[#This Row],[Standardized Volume in lbs]]/2.2</f>
        <v>2045.4545454545453</v>
      </c>
      <c r="K4" s="48">
        <v>2500</v>
      </c>
      <c r="L4" s="33" t="s">
        <v>65</v>
      </c>
      <c r="M4" s="33" t="s">
        <v>63</v>
      </c>
      <c r="N4" s="33" t="s">
        <v>66</v>
      </c>
      <c r="O4" s="33" t="s">
        <v>63</v>
      </c>
      <c r="P4" s="33" t="s">
        <v>63</v>
      </c>
      <c r="Q4" s="33" t="s">
        <v>63</v>
      </c>
      <c r="R4" s="33" t="s">
        <v>63</v>
      </c>
      <c r="S4" s="33" t="s">
        <v>67</v>
      </c>
      <c r="T4" s="33" t="s">
        <v>68</v>
      </c>
      <c r="U4" s="33" t="s">
        <v>63</v>
      </c>
      <c r="V4" s="33" t="s">
        <v>69</v>
      </c>
      <c r="W4" s="33" t="s">
        <v>70</v>
      </c>
      <c r="X4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4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4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4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4" s="33" t="s">
        <v>71</v>
      </c>
      <c r="AC4" s="33" t="s">
        <v>72</v>
      </c>
      <c r="AD4" s="33">
        <v>12.3</v>
      </c>
      <c r="AE4" s="33" t="s">
        <v>73</v>
      </c>
      <c r="AF4" s="38" t="s">
        <v>74</v>
      </c>
      <c r="AG4" s="38" t="s">
        <v>75</v>
      </c>
      <c r="AH4" s="33">
        <v>37143</v>
      </c>
      <c r="AI4" s="33" t="s">
        <v>63</v>
      </c>
      <c r="AJ4" s="33" t="s">
        <v>71</v>
      </c>
      <c r="AK4" s="37">
        <v>450.98</v>
      </c>
      <c r="AL4" s="37">
        <v>108.58</v>
      </c>
      <c r="AM4" s="37">
        <f t="shared" si="1"/>
        <v>244.30500000000001</v>
      </c>
      <c r="AN4" s="37">
        <v>0</v>
      </c>
      <c r="AO4" s="37">
        <v>0</v>
      </c>
      <c r="AP4" s="37">
        <v>0</v>
      </c>
      <c r="AQ4" s="37">
        <v>0</v>
      </c>
      <c r="AR4" s="37">
        <v>275</v>
      </c>
      <c r="AS4" s="37">
        <v>90</v>
      </c>
      <c r="AT4" s="37">
        <f t="shared" si="2"/>
        <v>202.5</v>
      </c>
      <c r="AU4" s="47">
        <v>0</v>
      </c>
      <c r="AV4" s="47">
        <v>0</v>
      </c>
      <c r="AW4" s="37">
        <v>0</v>
      </c>
      <c r="AX4" s="37">
        <v>0</v>
      </c>
      <c r="AY4" s="30"/>
      <c r="AZ4" s="30"/>
      <c r="BA4" s="30"/>
      <c r="BB4" s="30"/>
    </row>
    <row r="5" spans="1:54" x14ac:dyDescent="0.25">
      <c r="A5" s="33" t="s">
        <v>61</v>
      </c>
      <c r="B5" s="33" t="s">
        <v>76</v>
      </c>
      <c r="C5" s="34">
        <v>45474</v>
      </c>
      <c r="D5" s="33">
        <v>410062</v>
      </c>
      <c r="E5" s="34" t="s">
        <v>63</v>
      </c>
      <c r="F5" s="33" t="s">
        <v>64</v>
      </c>
      <c r="G5" s="35">
        <v>1</v>
      </c>
      <c r="H5" s="33">
        <v>2000</v>
      </c>
      <c r="I5" s="33">
        <f t="shared" si="0"/>
        <v>2000</v>
      </c>
      <c r="J5" s="48">
        <f>WasteShipmentData[[#This Row],[Standardized Volume in lbs]]/2.2</f>
        <v>909.09090909090901</v>
      </c>
      <c r="K5" s="48">
        <v>2500</v>
      </c>
      <c r="L5" s="33" t="s">
        <v>65</v>
      </c>
      <c r="M5" s="33" t="s">
        <v>63</v>
      </c>
      <c r="N5" s="33" t="s">
        <v>66</v>
      </c>
      <c r="O5" s="33" t="s">
        <v>63</v>
      </c>
      <c r="P5" s="33" t="s">
        <v>63</v>
      </c>
      <c r="Q5" s="33" t="s">
        <v>63</v>
      </c>
      <c r="R5" s="33" t="s">
        <v>63</v>
      </c>
      <c r="S5" s="33" t="s">
        <v>67</v>
      </c>
      <c r="T5" s="33" t="s">
        <v>68</v>
      </c>
      <c r="U5" s="33" t="s">
        <v>63</v>
      </c>
      <c r="V5" s="33" t="s">
        <v>69</v>
      </c>
      <c r="W5" s="33" t="s">
        <v>70</v>
      </c>
      <c r="X5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5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5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5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5" s="33" t="s">
        <v>71</v>
      </c>
      <c r="AC5" s="33" t="s">
        <v>72</v>
      </c>
      <c r="AD5" s="33">
        <v>12.3</v>
      </c>
      <c r="AE5" s="33" t="s">
        <v>73</v>
      </c>
      <c r="AF5" s="38" t="s">
        <v>74</v>
      </c>
      <c r="AG5" s="38" t="s">
        <v>75</v>
      </c>
      <c r="AH5" s="33">
        <v>37143</v>
      </c>
      <c r="AI5" s="33" t="s">
        <v>63</v>
      </c>
      <c r="AJ5" s="33" t="s">
        <v>71</v>
      </c>
      <c r="AK5" s="37">
        <v>450.98</v>
      </c>
      <c r="AL5" s="37">
        <v>108.58</v>
      </c>
      <c r="AM5" s="37">
        <f t="shared" si="1"/>
        <v>108.58</v>
      </c>
      <c r="AN5" s="37">
        <v>0</v>
      </c>
      <c r="AO5" s="37">
        <v>0</v>
      </c>
      <c r="AP5" s="37">
        <v>0</v>
      </c>
      <c r="AQ5" s="37">
        <v>0</v>
      </c>
      <c r="AR5" s="37">
        <v>275</v>
      </c>
      <c r="AS5" s="37">
        <v>90</v>
      </c>
      <c r="AT5" s="37">
        <f t="shared" si="2"/>
        <v>90</v>
      </c>
      <c r="AU5" s="47">
        <v>0</v>
      </c>
      <c r="AV5" s="47">
        <v>0</v>
      </c>
      <c r="AW5" s="37">
        <v>0</v>
      </c>
      <c r="AX5" s="37">
        <v>0</v>
      </c>
      <c r="AY5" s="30"/>
      <c r="AZ5" s="30"/>
      <c r="BA5" s="30"/>
      <c r="BB5" s="30"/>
    </row>
    <row r="6" spans="1:54" x14ac:dyDescent="0.25">
      <c r="A6" s="33" t="s">
        <v>61</v>
      </c>
      <c r="B6" s="33" t="s">
        <v>62</v>
      </c>
      <c r="C6" s="34">
        <v>45474</v>
      </c>
      <c r="D6" s="33">
        <v>410058</v>
      </c>
      <c r="E6" s="34" t="s">
        <v>63</v>
      </c>
      <c r="F6" s="33" t="s">
        <v>64</v>
      </c>
      <c r="G6" s="35">
        <v>1.55</v>
      </c>
      <c r="H6" s="33">
        <v>2000</v>
      </c>
      <c r="I6" s="33">
        <f t="shared" si="0"/>
        <v>3100</v>
      </c>
      <c r="J6" s="48">
        <f>WasteShipmentData[[#This Row],[Standardized Volume in lbs]]/2.2</f>
        <v>1409.090909090909</v>
      </c>
      <c r="K6" s="48">
        <f>8*2000</f>
        <v>16000</v>
      </c>
      <c r="L6" s="33" t="s">
        <v>65</v>
      </c>
      <c r="M6" s="33" t="s">
        <v>63</v>
      </c>
      <c r="N6" s="33" t="s">
        <v>66</v>
      </c>
      <c r="O6" s="33" t="s">
        <v>63</v>
      </c>
      <c r="P6" s="33" t="s">
        <v>63</v>
      </c>
      <c r="Q6" s="33" t="s">
        <v>63</v>
      </c>
      <c r="R6" s="33" t="s">
        <v>63</v>
      </c>
      <c r="S6" s="33" t="s">
        <v>77</v>
      </c>
      <c r="T6" s="33" t="s">
        <v>78</v>
      </c>
      <c r="U6" s="33" t="s">
        <v>63</v>
      </c>
      <c r="V6" s="33" t="s">
        <v>69</v>
      </c>
      <c r="W6" s="33" t="s">
        <v>70</v>
      </c>
      <c r="X6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6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6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6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6" s="33" t="s">
        <v>71</v>
      </c>
      <c r="AC6" s="33" t="s">
        <v>72</v>
      </c>
      <c r="AD6" s="33">
        <v>12.3</v>
      </c>
      <c r="AE6" s="33" t="s">
        <v>73</v>
      </c>
      <c r="AF6" s="38" t="s">
        <v>74</v>
      </c>
      <c r="AG6" s="38" t="s">
        <v>75</v>
      </c>
      <c r="AH6" s="33">
        <v>37143</v>
      </c>
      <c r="AI6" s="33" t="s">
        <v>63</v>
      </c>
      <c r="AJ6" s="33" t="s">
        <v>71</v>
      </c>
      <c r="AK6" s="37">
        <v>450.98</v>
      </c>
      <c r="AL6" s="37">
        <v>108.58</v>
      </c>
      <c r="AM6" s="37">
        <f t="shared" si="1"/>
        <v>168.29900000000001</v>
      </c>
      <c r="AN6" s="37">
        <v>0</v>
      </c>
      <c r="AO6" s="37">
        <v>0</v>
      </c>
      <c r="AP6" s="37">
        <v>0</v>
      </c>
      <c r="AQ6" s="37">
        <v>0</v>
      </c>
      <c r="AR6" s="37">
        <v>275</v>
      </c>
      <c r="AS6" s="37">
        <v>90</v>
      </c>
      <c r="AT6" s="37">
        <f t="shared" si="2"/>
        <v>139.5</v>
      </c>
      <c r="AU6" s="47">
        <v>0</v>
      </c>
      <c r="AV6" s="47">
        <v>0</v>
      </c>
      <c r="AW6" s="37">
        <v>0</v>
      </c>
      <c r="AX6" s="37">
        <v>0</v>
      </c>
      <c r="AY6" s="30"/>
      <c r="AZ6" s="30"/>
      <c r="BA6" s="30"/>
      <c r="BB6" s="30"/>
    </row>
    <row r="7" spans="1:54" x14ac:dyDescent="0.25">
      <c r="A7" s="33" t="s">
        <v>61</v>
      </c>
      <c r="B7" s="33" t="s">
        <v>62</v>
      </c>
      <c r="C7" s="34">
        <v>45474</v>
      </c>
      <c r="D7" s="33">
        <v>410059</v>
      </c>
      <c r="E7" s="34" t="s">
        <v>63</v>
      </c>
      <c r="F7" s="33" t="s">
        <v>64</v>
      </c>
      <c r="G7" s="35">
        <v>2.44</v>
      </c>
      <c r="H7" s="33">
        <v>2000</v>
      </c>
      <c r="I7" s="33">
        <f t="shared" si="0"/>
        <v>4880</v>
      </c>
      <c r="J7" s="48">
        <f>WasteShipmentData[[#This Row],[Standardized Volume in lbs]]/2.2</f>
        <v>2218.181818181818</v>
      </c>
      <c r="K7" s="48">
        <f>8*2000</f>
        <v>16000</v>
      </c>
      <c r="L7" s="33" t="s">
        <v>65</v>
      </c>
      <c r="M7" s="33" t="s">
        <v>63</v>
      </c>
      <c r="N7" s="33" t="s">
        <v>66</v>
      </c>
      <c r="O7" s="33" t="s">
        <v>63</v>
      </c>
      <c r="P7" s="33" t="s">
        <v>63</v>
      </c>
      <c r="Q7" s="33" t="s">
        <v>63</v>
      </c>
      <c r="R7" s="33" t="s">
        <v>63</v>
      </c>
      <c r="S7" s="33" t="s">
        <v>77</v>
      </c>
      <c r="T7" s="33" t="s">
        <v>78</v>
      </c>
      <c r="U7" s="33" t="s">
        <v>63</v>
      </c>
      <c r="V7" s="33" t="s">
        <v>69</v>
      </c>
      <c r="W7" s="33" t="s">
        <v>70</v>
      </c>
      <c r="X7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7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7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7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7" s="33" t="s">
        <v>71</v>
      </c>
      <c r="AC7" s="33" t="s">
        <v>72</v>
      </c>
      <c r="AD7" s="33">
        <v>12.3</v>
      </c>
      <c r="AE7" s="33" t="s">
        <v>73</v>
      </c>
      <c r="AF7" s="38" t="s">
        <v>74</v>
      </c>
      <c r="AG7" s="38" t="s">
        <v>75</v>
      </c>
      <c r="AH7" s="33">
        <v>37143</v>
      </c>
      <c r="AI7" s="33" t="s">
        <v>63</v>
      </c>
      <c r="AJ7" s="33" t="s">
        <v>71</v>
      </c>
      <c r="AK7" s="37">
        <v>450.98</v>
      </c>
      <c r="AL7" s="37">
        <v>108.58</v>
      </c>
      <c r="AM7" s="37">
        <f t="shared" si="1"/>
        <v>264.93520000000001</v>
      </c>
      <c r="AN7" s="37">
        <v>0</v>
      </c>
      <c r="AO7" s="37">
        <v>0</v>
      </c>
      <c r="AP7" s="37">
        <v>0</v>
      </c>
      <c r="AQ7" s="37">
        <v>0</v>
      </c>
      <c r="AR7" s="37">
        <v>275</v>
      </c>
      <c r="AS7" s="37">
        <v>90</v>
      </c>
      <c r="AT7" s="37">
        <f t="shared" si="2"/>
        <v>219.6</v>
      </c>
      <c r="AU7" s="47">
        <v>0</v>
      </c>
      <c r="AV7" s="47">
        <v>0</v>
      </c>
      <c r="AW7" s="37">
        <v>0</v>
      </c>
      <c r="AX7" s="37">
        <v>0</v>
      </c>
      <c r="AY7" s="30"/>
      <c r="AZ7" s="30"/>
      <c r="BA7" s="30"/>
      <c r="BB7" s="30"/>
    </row>
    <row r="8" spans="1:54" x14ac:dyDescent="0.25">
      <c r="A8" s="33" t="s">
        <v>79</v>
      </c>
      <c r="B8" s="33" t="s">
        <v>80</v>
      </c>
      <c r="C8" s="39">
        <v>45475</v>
      </c>
      <c r="D8" s="33">
        <v>410063</v>
      </c>
      <c r="E8" s="34" t="s">
        <v>63</v>
      </c>
      <c r="F8" s="33" t="s">
        <v>64</v>
      </c>
      <c r="G8" s="35">
        <v>8.52</v>
      </c>
      <c r="H8" s="33">
        <v>2000</v>
      </c>
      <c r="I8" s="33">
        <f t="shared" si="0"/>
        <v>17040</v>
      </c>
      <c r="J8" s="48">
        <f>WasteShipmentData[[#This Row],[Standardized Volume in lbs]]/2.2</f>
        <v>7745.454545454545</v>
      </c>
      <c r="K8" s="48">
        <f>8*2000</f>
        <v>16000</v>
      </c>
      <c r="L8" s="33" t="s">
        <v>65</v>
      </c>
      <c r="M8" s="33" t="s">
        <v>63</v>
      </c>
      <c r="N8" s="33" t="s">
        <v>66</v>
      </c>
      <c r="O8" s="33" t="s">
        <v>63</v>
      </c>
      <c r="P8" s="33" t="s">
        <v>63</v>
      </c>
      <c r="Q8" s="33" t="s">
        <v>63</v>
      </c>
      <c r="R8" s="33" t="s">
        <v>63</v>
      </c>
      <c r="S8" s="33" t="s">
        <v>67</v>
      </c>
      <c r="T8" s="33" t="s">
        <v>68</v>
      </c>
      <c r="U8" s="33" t="s">
        <v>63</v>
      </c>
      <c r="V8" s="33" t="s">
        <v>69</v>
      </c>
      <c r="W8" s="33" t="s">
        <v>70</v>
      </c>
      <c r="X8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8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8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8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8" s="33" t="s">
        <v>71</v>
      </c>
      <c r="AC8" s="33" t="s">
        <v>72</v>
      </c>
      <c r="AD8" s="33">
        <v>12.3</v>
      </c>
      <c r="AE8" s="33" t="s">
        <v>73</v>
      </c>
      <c r="AF8" s="38" t="s">
        <v>74</v>
      </c>
      <c r="AG8" s="38" t="s">
        <v>75</v>
      </c>
      <c r="AH8" s="33">
        <v>37143</v>
      </c>
      <c r="AI8" s="33" t="s">
        <v>63</v>
      </c>
      <c r="AJ8" s="33" t="s">
        <v>71</v>
      </c>
      <c r="AK8" s="37">
        <v>717.46</v>
      </c>
      <c r="AL8" s="37">
        <v>80.709999999999994</v>
      </c>
      <c r="AM8" s="37">
        <f t="shared" si="1"/>
        <v>687.64919999999995</v>
      </c>
      <c r="AN8" s="37">
        <v>0</v>
      </c>
      <c r="AO8" s="37">
        <v>0</v>
      </c>
      <c r="AP8" s="37">
        <v>0</v>
      </c>
      <c r="AQ8" s="37">
        <v>122.97</v>
      </c>
      <c r="AR8" s="37">
        <v>400</v>
      </c>
      <c r="AS8" s="37">
        <v>45</v>
      </c>
      <c r="AT8" s="37">
        <f t="shared" si="2"/>
        <v>383.4</v>
      </c>
      <c r="AU8" s="47">
        <v>0</v>
      </c>
      <c r="AV8" s="47">
        <v>0</v>
      </c>
      <c r="AW8" s="37">
        <v>0</v>
      </c>
      <c r="AX8" s="37">
        <v>75</v>
      </c>
      <c r="AY8" s="30"/>
      <c r="AZ8" s="30"/>
      <c r="BA8" s="30"/>
      <c r="BB8" s="30"/>
    </row>
    <row r="9" spans="1:54" x14ac:dyDescent="0.25">
      <c r="A9" s="33" t="s">
        <v>79</v>
      </c>
      <c r="B9" s="33" t="s">
        <v>80</v>
      </c>
      <c r="C9" s="40">
        <v>45476</v>
      </c>
      <c r="D9" s="33">
        <v>410065</v>
      </c>
      <c r="E9" s="34" t="s">
        <v>63</v>
      </c>
      <c r="F9" s="33" t="s">
        <v>64</v>
      </c>
      <c r="G9" s="33">
        <v>6.89</v>
      </c>
      <c r="H9" s="33">
        <v>2000</v>
      </c>
      <c r="I9" s="33">
        <f t="shared" si="0"/>
        <v>13780</v>
      </c>
      <c r="J9" s="48">
        <f>WasteShipmentData[[#This Row],[Standardized Volume in lbs]]/2.2</f>
        <v>6263.6363636363631</v>
      </c>
      <c r="K9" s="48">
        <f>8*2000</f>
        <v>16000</v>
      </c>
      <c r="L9" s="33" t="s">
        <v>65</v>
      </c>
      <c r="M9" s="33" t="s">
        <v>63</v>
      </c>
      <c r="N9" s="33" t="s">
        <v>66</v>
      </c>
      <c r="O9" s="33" t="s">
        <v>63</v>
      </c>
      <c r="P9" s="33" t="s">
        <v>63</v>
      </c>
      <c r="Q9" s="33" t="s">
        <v>63</v>
      </c>
      <c r="R9" s="33" t="s">
        <v>63</v>
      </c>
      <c r="S9" s="33" t="s">
        <v>67</v>
      </c>
      <c r="T9" s="33" t="s">
        <v>68</v>
      </c>
      <c r="U9" s="33" t="s">
        <v>63</v>
      </c>
      <c r="V9" s="33" t="s">
        <v>69</v>
      </c>
      <c r="W9" s="33" t="s">
        <v>70</v>
      </c>
      <c r="X9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9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9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9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9" s="33" t="s">
        <v>71</v>
      </c>
      <c r="AC9" s="33" t="s">
        <v>72</v>
      </c>
      <c r="AD9" s="33">
        <v>12.3</v>
      </c>
      <c r="AE9" s="33" t="s">
        <v>73</v>
      </c>
      <c r="AF9" s="38" t="s">
        <v>74</v>
      </c>
      <c r="AG9" s="38" t="s">
        <v>75</v>
      </c>
      <c r="AH9" s="33">
        <v>37143</v>
      </c>
      <c r="AI9" s="33" t="s">
        <v>63</v>
      </c>
      <c r="AJ9" s="33" t="s">
        <v>71</v>
      </c>
      <c r="AK9" s="37">
        <v>717.46</v>
      </c>
      <c r="AL9" s="37">
        <v>80.709999999999994</v>
      </c>
      <c r="AM9" s="37">
        <f t="shared" si="1"/>
        <v>556.0918999999999</v>
      </c>
      <c r="AN9" s="37">
        <v>0</v>
      </c>
      <c r="AO9" s="37">
        <v>0</v>
      </c>
      <c r="AP9" s="37">
        <v>0</v>
      </c>
      <c r="AQ9" s="37">
        <v>122.97</v>
      </c>
      <c r="AR9" s="37">
        <v>400</v>
      </c>
      <c r="AS9" s="37">
        <v>45</v>
      </c>
      <c r="AT9" s="37">
        <f t="shared" si="2"/>
        <v>310.05</v>
      </c>
      <c r="AU9" s="47">
        <v>0</v>
      </c>
      <c r="AV9" s="47">
        <v>0</v>
      </c>
      <c r="AW9" s="37">
        <v>0</v>
      </c>
      <c r="AX9" s="37">
        <v>75</v>
      </c>
      <c r="AY9" s="30"/>
      <c r="AZ9" s="30"/>
      <c r="BA9" s="30"/>
      <c r="BB9" s="30"/>
    </row>
    <row r="10" spans="1:54" x14ac:dyDescent="0.25">
      <c r="A10" s="33" t="s">
        <v>81</v>
      </c>
      <c r="B10" s="33" t="s">
        <v>80</v>
      </c>
      <c r="C10" s="40">
        <v>45476</v>
      </c>
      <c r="D10" s="33">
        <v>410064</v>
      </c>
      <c r="E10" s="34" t="s">
        <v>63</v>
      </c>
      <c r="F10" s="33" t="s">
        <v>64</v>
      </c>
      <c r="G10" s="33">
        <v>3.28</v>
      </c>
      <c r="H10" s="33">
        <v>2000</v>
      </c>
      <c r="I10" s="33">
        <f t="shared" si="0"/>
        <v>6560</v>
      </c>
      <c r="J10" s="48">
        <f>WasteShipmentData[[#This Row],[Standardized Volume in lbs]]/2.2</f>
        <v>2981.8181818181815</v>
      </c>
      <c r="K10" s="48">
        <v>2000</v>
      </c>
      <c r="L10" s="33" t="s">
        <v>65</v>
      </c>
      <c r="M10" s="33" t="s">
        <v>63</v>
      </c>
      <c r="N10" s="33" t="s">
        <v>66</v>
      </c>
      <c r="O10" s="33" t="s">
        <v>63</v>
      </c>
      <c r="P10" s="33" t="s">
        <v>63</v>
      </c>
      <c r="Q10" s="33" t="s">
        <v>63</v>
      </c>
      <c r="R10" s="33" t="s">
        <v>63</v>
      </c>
      <c r="S10" s="33" t="s">
        <v>67</v>
      </c>
      <c r="T10" s="33" t="s">
        <v>68</v>
      </c>
      <c r="U10" s="33" t="s">
        <v>63</v>
      </c>
      <c r="V10" s="33" t="s">
        <v>69</v>
      </c>
      <c r="W10" s="33" t="s">
        <v>70</v>
      </c>
      <c r="X10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10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10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10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10" s="33" t="s">
        <v>71</v>
      </c>
      <c r="AC10" s="33" t="s">
        <v>72</v>
      </c>
      <c r="AD10" s="33">
        <v>12.3</v>
      </c>
      <c r="AE10" s="33" t="s">
        <v>73</v>
      </c>
      <c r="AF10" s="38" t="s">
        <v>74</v>
      </c>
      <c r="AG10" s="38" t="s">
        <v>75</v>
      </c>
      <c r="AH10" s="33">
        <v>37143</v>
      </c>
      <c r="AI10" s="33" t="s">
        <v>63</v>
      </c>
      <c r="AJ10" s="33" t="s">
        <v>71</v>
      </c>
      <c r="AK10" s="37">
        <v>717.46</v>
      </c>
      <c r="AL10" s="37">
        <v>80.709999999999994</v>
      </c>
      <c r="AM10" s="37">
        <f t="shared" si="1"/>
        <v>264.72879999999998</v>
      </c>
      <c r="AN10" s="37">
        <v>0</v>
      </c>
      <c r="AO10" s="37">
        <v>0</v>
      </c>
      <c r="AP10" s="37">
        <v>0</v>
      </c>
      <c r="AQ10" s="37">
        <v>122.97</v>
      </c>
      <c r="AR10" s="37">
        <v>400</v>
      </c>
      <c r="AS10" s="37">
        <v>45</v>
      </c>
      <c r="AT10" s="37">
        <f t="shared" si="2"/>
        <v>147.6</v>
      </c>
      <c r="AU10" s="47">
        <v>0</v>
      </c>
      <c r="AV10" s="47">
        <v>0</v>
      </c>
      <c r="AW10" s="37">
        <v>0</v>
      </c>
      <c r="AX10" s="37">
        <v>75</v>
      </c>
      <c r="AY10" s="30"/>
      <c r="AZ10" s="30"/>
      <c r="BA10" s="30"/>
      <c r="BB10" s="30"/>
    </row>
    <row r="11" spans="1:54" x14ac:dyDescent="0.25">
      <c r="A11" s="33" t="s">
        <v>82</v>
      </c>
      <c r="B11" s="33" t="s">
        <v>76</v>
      </c>
      <c r="C11" s="34">
        <v>45476</v>
      </c>
      <c r="D11" s="33">
        <v>410066</v>
      </c>
      <c r="E11" s="34" t="s">
        <v>63</v>
      </c>
      <c r="F11" s="33" t="s">
        <v>64</v>
      </c>
      <c r="G11" s="35">
        <v>11.46</v>
      </c>
      <c r="H11" s="33">
        <v>2000</v>
      </c>
      <c r="I11" s="33">
        <f t="shared" si="0"/>
        <v>22920</v>
      </c>
      <c r="J11" s="48">
        <f>WasteShipmentData[[#This Row],[Standardized Volume in lbs]]/2.2</f>
        <v>10418.181818181818</v>
      </c>
      <c r="K11" s="48">
        <f>8*2000</f>
        <v>16000</v>
      </c>
      <c r="L11" s="33" t="s">
        <v>83</v>
      </c>
      <c r="M11" s="33" t="s">
        <v>63</v>
      </c>
      <c r="N11" s="33" t="s">
        <v>83</v>
      </c>
      <c r="O11" s="33" t="s">
        <v>63</v>
      </c>
      <c r="P11" s="33" t="s">
        <v>63</v>
      </c>
      <c r="Q11" s="33" t="s">
        <v>63</v>
      </c>
      <c r="R11" s="33" t="s">
        <v>63</v>
      </c>
      <c r="S11" s="33" t="s">
        <v>84</v>
      </c>
      <c r="T11" s="33" t="s">
        <v>68</v>
      </c>
      <c r="U11" s="33" t="s">
        <v>63</v>
      </c>
      <c r="V11" s="33" t="s">
        <v>69</v>
      </c>
      <c r="W11" s="33" t="s">
        <v>70</v>
      </c>
      <c r="X11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11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11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11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11" s="33" t="s">
        <v>85</v>
      </c>
      <c r="AC11" s="33" t="s">
        <v>86</v>
      </c>
      <c r="AD11" s="33">
        <v>281.5</v>
      </c>
      <c r="AE11" s="33" t="s">
        <v>87</v>
      </c>
      <c r="AF11" s="38" t="s">
        <v>88</v>
      </c>
      <c r="AG11" s="38" t="s">
        <v>75</v>
      </c>
      <c r="AH11" s="33">
        <v>37660</v>
      </c>
      <c r="AI11" s="33" t="s">
        <v>63</v>
      </c>
      <c r="AJ11" s="33" t="s">
        <v>89</v>
      </c>
      <c r="AK11" s="37">
        <v>0</v>
      </c>
      <c r="AL11" s="37">
        <v>7.5</v>
      </c>
      <c r="AM11" s="37">
        <f t="shared" si="1"/>
        <v>85.95</v>
      </c>
      <c r="AN11" s="37">
        <v>0</v>
      </c>
      <c r="AO11" s="37">
        <v>0</v>
      </c>
      <c r="AP11" s="37">
        <v>0</v>
      </c>
      <c r="AQ11" s="37">
        <v>0</v>
      </c>
      <c r="AR11" s="37">
        <v>0</v>
      </c>
      <c r="AS11" s="37"/>
      <c r="AT11" s="37">
        <f t="shared" si="2"/>
        <v>0</v>
      </c>
      <c r="AU11" s="47">
        <v>0</v>
      </c>
      <c r="AV11" s="47">
        <v>0</v>
      </c>
      <c r="AW11" s="37">
        <f>G11*-155</f>
        <v>-1776.3000000000002</v>
      </c>
      <c r="AX11" s="37">
        <v>0</v>
      </c>
      <c r="AY11" s="30"/>
      <c r="AZ11" s="30"/>
      <c r="BA11" s="30"/>
      <c r="BB11" s="30"/>
    </row>
    <row r="12" spans="1:54" x14ac:dyDescent="0.25">
      <c r="A12" s="33" t="s">
        <v>79</v>
      </c>
      <c r="B12" s="33" t="s">
        <v>80</v>
      </c>
      <c r="C12" s="40">
        <v>45478</v>
      </c>
      <c r="D12" s="33">
        <v>410069</v>
      </c>
      <c r="E12" s="34" t="s">
        <v>63</v>
      </c>
      <c r="F12" s="33" t="s">
        <v>64</v>
      </c>
      <c r="G12" s="35">
        <v>8.77</v>
      </c>
      <c r="H12" s="33">
        <v>2000</v>
      </c>
      <c r="I12" s="33">
        <f t="shared" si="0"/>
        <v>17540</v>
      </c>
      <c r="J12" s="48">
        <f>WasteShipmentData[[#This Row],[Standardized Volume in lbs]]/2.2</f>
        <v>7972.7272727272721</v>
      </c>
      <c r="K12" s="48">
        <f>8*2000</f>
        <v>16000</v>
      </c>
      <c r="L12" s="33" t="s">
        <v>65</v>
      </c>
      <c r="M12" s="33" t="s">
        <v>63</v>
      </c>
      <c r="N12" s="33" t="s">
        <v>66</v>
      </c>
      <c r="O12" s="33" t="s">
        <v>63</v>
      </c>
      <c r="P12" s="33" t="s">
        <v>63</v>
      </c>
      <c r="Q12" s="33" t="s">
        <v>63</v>
      </c>
      <c r="R12" s="33" t="s">
        <v>63</v>
      </c>
      <c r="S12" s="33" t="s">
        <v>67</v>
      </c>
      <c r="T12" s="33" t="s">
        <v>68</v>
      </c>
      <c r="U12" s="33" t="s">
        <v>63</v>
      </c>
      <c r="V12" s="33" t="s">
        <v>69</v>
      </c>
      <c r="W12" s="33" t="s">
        <v>70</v>
      </c>
      <c r="X12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12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12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12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12" s="33" t="s">
        <v>71</v>
      </c>
      <c r="AC12" s="33" t="s">
        <v>72</v>
      </c>
      <c r="AD12" s="33">
        <v>12.3</v>
      </c>
      <c r="AE12" s="33" t="s">
        <v>73</v>
      </c>
      <c r="AF12" s="38" t="s">
        <v>74</v>
      </c>
      <c r="AG12" s="38" t="s">
        <v>75</v>
      </c>
      <c r="AH12" s="33">
        <v>37143</v>
      </c>
      <c r="AI12" s="33" t="s">
        <v>63</v>
      </c>
      <c r="AJ12" s="33" t="s">
        <v>71</v>
      </c>
      <c r="AK12" s="37">
        <v>717.46</v>
      </c>
      <c r="AL12" s="37">
        <v>80.709999999999994</v>
      </c>
      <c r="AM12" s="37">
        <f t="shared" si="1"/>
        <v>707.82669999999996</v>
      </c>
      <c r="AN12" s="37">
        <v>0</v>
      </c>
      <c r="AO12" s="37">
        <v>0</v>
      </c>
      <c r="AP12" s="37">
        <v>0</v>
      </c>
      <c r="AQ12" s="37">
        <v>122.97</v>
      </c>
      <c r="AR12" s="37">
        <v>400</v>
      </c>
      <c r="AS12" s="37">
        <v>45</v>
      </c>
      <c r="AT12" s="37">
        <f t="shared" si="2"/>
        <v>394.65</v>
      </c>
      <c r="AU12" s="47">
        <v>0</v>
      </c>
      <c r="AV12" s="47">
        <v>0</v>
      </c>
      <c r="AW12" s="37">
        <v>0</v>
      </c>
      <c r="AX12" s="37">
        <v>75</v>
      </c>
      <c r="AY12" s="30"/>
      <c r="AZ12" s="30"/>
      <c r="BA12" s="30"/>
      <c r="BB12" s="30"/>
    </row>
    <row r="13" spans="1:54" x14ac:dyDescent="0.25">
      <c r="A13" s="33" t="s">
        <v>61</v>
      </c>
      <c r="B13" s="33" t="s">
        <v>62</v>
      </c>
      <c r="C13" s="34">
        <v>45478</v>
      </c>
      <c r="D13" s="33">
        <v>410068</v>
      </c>
      <c r="E13" s="34" t="s">
        <v>63</v>
      </c>
      <c r="F13" s="33" t="s">
        <v>64</v>
      </c>
      <c r="G13" s="35">
        <v>5.31</v>
      </c>
      <c r="H13" s="33">
        <v>2000</v>
      </c>
      <c r="I13" s="33">
        <f t="shared" si="0"/>
        <v>10620</v>
      </c>
      <c r="J13" s="48">
        <f>WasteShipmentData[[#This Row],[Standardized Volume in lbs]]/2.2</f>
        <v>4827.272727272727</v>
      </c>
      <c r="K13" s="48">
        <f>8*2000</f>
        <v>16000</v>
      </c>
      <c r="L13" s="33" t="s">
        <v>65</v>
      </c>
      <c r="M13" s="33" t="s">
        <v>63</v>
      </c>
      <c r="N13" s="33" t="s">
        <v>66</v>
      </c>
      <c r="O13" s="33" t="s">
        <v>63</v>
      </c>
      <c r="P13" s="33" t="s">
        <v>63</v>
      </c>
      <c r="Q13" s="33" t="s">
        <v>63</v>
      </c>
      <c r="R13" s="33" t="s">
        <v>63</v>
      </c>
      <c r="S13" s="33" t="s">
        <v>77</v>
      </c>
      <c r="T13" s="33" t="s">
        <v>78</v>
      </c>
      <c r="U13" s="33" t="s">
        <v>63</v>
      </c>
      <c r="V13" s="33" t="s">
        <v>69</v>
      </c>
      <c r="W13" s="33" t="s">
        <v>70</v>
      </c>
      <c r="X13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13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13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13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13" s="33" t="s">
        <v>71</v>
      </c>
      <c r="AC13" s="33" t="s">
        <v>72</v>
      </c>
      <c r="AD13" s="33">
        <v>12.3</v>
      </c>
      <c r="AE13" s="33" t="s">
        <v>73</v>
      </c>
      <c r="AF13" s="38" t="s">
        <v>74</v>
      </c>
      <c r="AG13" s="38" t="s">
        <v>75</v>
      </c>
      <c r="AH13" s="33">
        <v>37143</v>
      </c>
      <c r="AI13" s="33" t="s">
        <v>63</v>
      </c>
      <c r="AJ13" s="33" t="s">
        <v>71</v>
      </c>
      <c r="AK13" s="37">
        <v>450.98</v>
      </c>
      <c r="AL13" s="37">
        <v>108.58</v>
      </c>
      <c r="AM13" s="37">
        <f t="shared" si="1"/>
        <v>576.5598</v>
      </c>
      <c r="AN13" s="37">
        <v>0</v>
      </c>
      <c r="AO13" s="37">
        <v>0</v>
      </c>
      <c r="AP13" s="37">
        <v>0</v>
      </c>
      <c r="AQ13" s="37">
        <v>0</v>
      </c>
      <c r="AR13" s="37">
        <v>275</v>
      </c>
      <c r="AS13" s="37">
        <v>90</v>
      </c>
      <c r="AT13" s="37">
        <f t="shared" si="2"/>
        <v>477.9</v>
      </c>
      <c r="AU13" s="47">
        <v>0</v>
      </c>
      <c r="AV13" s="47">
        <v>0</v>
      </c>
      <c r="AW13" s="37">
        <v>0</v>
      </c>
      <c r="AX13" s="37">
        <v>0</v>
      </c>
      <c r="AY13" s="30"/>
      <c r="AZ13" s="30"/>
      <c r="BA13" s="30"/>
      <c r="BB13" s="30"/>
    </row>
    <row r="14" spans="1:54" x14ac:dyDescent="0.25">
      <c r="A14" s="33" t="s">
        <v>61</v>
      </c>
      <c r="B14" s="33" t="s">
        <v>62</v>
      </c>
      <c r="C14" s="34">
        <v>45478</v>
      </c>
      <c r="D14" s="33">
        <v>410067</v>
      </c>
      <c r="E14" s="34" t="s">
        <v>63</v>
      </c>
      <c r="F14" s="33" t="s">
        <v>64</v>
      </c>
      <c r="G14" s="35">
        <v>2.99</v>
      </c>
      <c r="H14" s="33">
        <v>2000</v>
      </c>
      <c r="I14" s="33">
        <f t="shared" si="0"/>
        <v>5980</v>
      </c>
      <c r="J14" s="48">
        <f>WasteShipmentData[[#This Row],[Standardized Volume in lbs]]/2.2</f>
        <v>2718.181818181818</v>
      </c>
      <c r="K14" s="48">
        <f>8*2000</f>
        <v>16000</v>
      </c>
      <c r="L14" s="33" t="s">
        <v>65</v>
      </c>
      <c r="M14" s="33" t="s">
        <v>63</v>
      </c>
      <c r="N14" s="33" t="s">
        <v>66</v>
      </c>
      <c r="O14" s="33" t="s">
        <v>63</v>
      </c>
      <c r="P14" s="33" t="s">
        <v>63</v>
      </c>
      <c r="Q14" s="33" t="s">
        <v>63</v>
      </c>
      <c r="R14" s="33" t="s">
        <v>63</v>
      </c>
      <c r="S14" s="33" t="s">
        <v>77</v>
      </c>
      <c r="T14" s="33" t="s">
        <v>78</v>
      </c>
      <c r="U14" s="33" t="s">
        <v>63</v>
      </c>
      <c r="V14" s="33" t="s">
        <v>69</v>
      </c>
      <c r="W14" s="33" t="s">
        <v>70</v>
      </c>
      <c r="X14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14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14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14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14" s="33" t="s">
        <v>71</v>
      </c>
      <c r="AC14" s="33" t="s">
        <v>72</v>
      </c>
      <c r="AD14" s="33">
        <v>12.3</v>
      </c>
      <c r="AE14" s="33" t="s">
        <v>73</v>
      </c>
      <c r="AF14" s="38" t="s">
        <v>74</v>
      </c>
      <c r="AG14" s="38" t="s">
        <v>75</v>
      </c>
      <c r="AH14" s="33">
        <v>37143</v>
      </c>
      <c r="AI14" s="33" t="s">
        <v>63</v>
      </c>
      <c r="AJ14" s="33" t="s">
        <v>71</v>
      </c>
      <c r="AK14" s="37">
        <v>450.98</v>
      </c>
      <c r="AL14" s="37">
        <v>108.58</v>
      </c>
      <c r="AM14" s="37">
        <f t="shared" si="1"/>
        <v>324.6542</v>
      </c>
      <c r="AN14" s="37">
        <v>0</v>
      </c>
      <c r="AO14" s="37">
        <v>0</v>
      </c>
      <c r="AP14" s="37">
        <v>0</v>
      </c>
      <c r="AQ14" s="37">
        <v>0</v>
      </c>
      <c r="AR14" s="37">
        <v>275</v>
      </c>
      <c r="AS14" s="37">
        <v>90</v>
      </c>
      <c r="AT14" s="37">
        <f t="shared" si="2"/>
        <v>269.10000000000002</v>
      </c>
      <c r="AU14" s="47">
        <v>0</v>
      </c>
      <c r="AV14" s="47">
        <v>0</v>
      </c>
      <c r="AW14" s="37">
        <v>0</v>
      </c>
      <c r="AX14" s="37">
        <v>0</v>
      </c>
      <c r="AY14" s="30"/>
      <c r="AZ14" s="30"/>
      <c r="BA14" s="30"/>
      <c r="BB14" s="30"/>
    </row>
    <row r="15" spans="1:54" x14ac:dyDescent="0.25">
      <c r="A15" s="33" t="s">
        <v>79</v>
      </c>
      <c r="B15" s="33" t="s">
        <v>80</v>
      </c>
      <c r="C15" s="40">
        <v>45481</v>
      </c>
      <c r="D15" s="33">
        <v>410072</v>
      </c>
      <c r="E15" s="34" t="s">
        <v>63</v>
      </c>
      <c r="F15" s="33" t="s">
        <v>64</v>
      </c>
      <c r="G15" s="35">
        <v>6.4</v>
      </c>
      <c r="H15" s="33">
        <v>2000</v>
      </c>
      <c r="I15" s="33">
        <f t="shared" si="0"/>
        <v>12800</v>
      </c>
      <c r="J15" s="48">
        <f>WasteShipmentData[[#This Row],[Standardized Volume in lbs]]/2.2</f>
        <v>5818.181818181818</v>
      </c>
      <c r="K15" s="48">
        <f>8*2000</f>
        <v>16000</v>
      </c>
      <c r="L15" s="33" t="s">
        <v>65</v>
      </c>
      <c r="M15" s="33" t="s">
        <v>63</v>
      </c>
      <c r="N15" s="33" t="s">
        <v>66</v>
      </c>
      <c r="O15" s="33" t="s">
        <v>63</v>
      </c>
      <c r="P15" s="33" t="s">
        <v>63</v>
      </c>
      <c r="Q15" s="33" t="s">
        <v>63</v>
      </c>
      <c r="R15" s="33" t="s">
        <v>63</v>
      </c>
      <c r="S15" s="33" t="s">
        <v>67</v>
      </c>
      <c r="T15" s="33" t="s">
        <v>68</v>
      </c>
      <c r="U15" s="33" t="s">
        <v>63</v>
      </c>
      <c r="V15" s="33" t="s">
        <v>69</v>
      </c>
      <c r="W15" s="33" t="s">
        <v>70</v>
      </c>
      <c r="X15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15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15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15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15" s="33" t="s">
        <v>71</v>
      </c>
      <c r="AC15" s="33" t="s">
        <v>72</v>
      </c>
      <c r="AD15" s="33">
        <v>12.3</v>
      </c>
      <c r="AE15" s="33" t="s">
        <v>73</v>
      </c>
      <c r="AF15" s="38" t="s">
        <v>74</v>
      </c>
      <c r="AG15" s="38" t="s">
        <v>75</v>
      </c>
      <c r="AH15" s="33">
        <v>37143</v>
      </c>
      <c r="AI15" s="33" t="s">
        <v>63</v>
      </c>
      <c r="AJ15" s="33" t="s">
        <v>71</v>
      </c>
      <c r="AK15" s="37">
        <v>717.46</v>
      </c>
      <c r="AL15" s="37">
        <v>80.709999999999994</v>
      </c>
      <c r="AM15" s="37">
        <f t="shared" si="1"/>
        <v>516.54399999999998</v>
      </c>
      <c r="AN15" s="37">
        <v>0</v>
      </c>
      <c r="AO15" s="37">
        <v>0</v>
      </c>
      <c r="AP15" s="37">
        <v>0</v>
      </c>
      <c r="AQ15" s="37">
        <v>122.97</v>
      </c>
      <c r="AR15" s="37">
        <v>400</v>
      </c>
      <c r="AS15" s="37">
        <v>45</v>
      </c>
      <c r="AT15" s="37">
        <f t="shared" si="2"/>
        <v>288</v>
      </c>
      <c r="AU15" s="47">
        <v>0</v>
      </c>
      <c r="AV15" s="47">
        <v>0</v>
      </c>
      <c r="AW15" s="37">
        <v>0</v>
      </c>
      <c r="AX15" s="37">
        <v>75</v>
      </c>
      <c r="AY15" s="30"/>
      <c r="AZ15" s="30"/>
      <c r="BA15" s="30"/>
      <c r="BB15" s="30"/>
    </row>
    <row r="16" spans="1:54" x14ac:dyDescent="0.25">
      <c r="A16" s="33" t="s">
        <v>61</v>
      </c>
      <c r="B16" s="33" t="s">
        <v>62</v>
      </c>
      <c r="C16" s="34">
        <v>45481</v>
      </c>
      <c r="D16" s="33">
        <v>410073</v>
      </c>
      <c r="E16" s="34" t="s">
        <v>63</v>
      </c>
      <c r="F16" s="33" t="s">
        <v>64</v>
      </c>
      <c r="G16" s="35">
        <v>1.24</v>
      </c>
      <c r="H16" s="33">
        <v>2000</v>
      </c>
      <c r="I16" s="33">
        <f t="shared" si="0"/>
        <v>2480</v>
      </c>
      <c r="J16" s="48">
        <f>WasteShipmentData[[#This Row],[Standardized Volume in lbs]]/2.2</f>
        <v>1127.2727272727273</v>
      </c>
      <c r="K16" s="48">
        <v>2500</v>
      </c>
      <c r="L16" s="33" t="s">
        <v>65</v>
      </c>
      <c r="M16" s="33" t="s">
        <v>63</v>
      </c>
      <c r="N16" s="33" t="s">
        <v>66</v>
      </c>
      <c r="O16" s="33" t="s">
        <v>63</v>
      </c>
      <c r="P16" s="33" t="s">
        <v>63</v>
      </c>
      <c r="Q16" s="33" t="s">
        <v>63</v>
      </c>
      <c r="R16" s="33" t="s">
        <v>63</v>
      </c>
      <c r="S16" s="33" t="s">
        <v>67</v>
      </c>
      <c r="T16" s="33" t="s">
        <v>68</v>
      </c>
      <c r="U16" s="33" t="s">
        <v>63</v>
      </c>
      <c r="V16" s="33" t="s">
        <v>69</v>
      </c>
      <c r="W16" s="33" t="s">
        <v>70</v>
      </c>
      <c r="X16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16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16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16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16" s="33" t="s">
        <v>71</v>
      </c>
      <c r="AC16" s="33" t="s">
        <v>72</v>
      </c>
      <c r="AD16" s="33">
        <v>12.3</v>
      </c>
      <c r="AE16" s="33" t="s">
        <v>73</v>
      </c>
      <c r="AF16" s="38" t="s">
        <v>74</v>
      </c>
      <c r="AG16" s="38" t="s">
        <v>75</v>
      </c>
      <c r="AH16" s="33">
        <v>37143</v>
      </c>
      <c r="AI16" s="33" t="s">
        <v>63</v>
      </c>
      <c r="AJ16" s="33" t="s">
        <v>71</v>
      </c>
      <c r="AK16" s="37">
        <v>450.98</v>
      </c>
      <c r="AL16" s="37">
        <v>108.58</v>
      </c>
      <c r="AM16" s="37">
        <f t="shared" si="1"/>
        <v>134.63919999999999</v>
      </c>
      <c r="AN16" s="37">
        <v>0</v>
      </c>
      <c r="AO16" s="37">
        <v>0</v>
      </c>
      <c r="AP16" s="37">
        <v>0</v>
      </c>
      <c r="AQ16" s="37">
        <v>0</v>
      </c>
      <c r="AR16" s="37">
        <v>275</v>
      </c>
      <c r="AS16" s="37">
        <v>90</v>
      </c>
      <c r="AT16" s="37">
        <f t="shared" si="2"/>
        <v>111.6</v>
      </c>
      <c r="AU16" s="47">
        <v>0</v>
      </c>
      <c r="AV16" s="47">
        <v>0</v>
      </c>
      <c r="AW16" s="37">
        <v>0</v>
      </c>
      <c r="AX16" s="37">
        <v>0</v>
      </c>
      <c r="AY16" s="30"/>
      <c r="AZ16" s="30"/>
      <c r="BA16" s="30"/>
      <c r="BB16" s="30"/>
    </row>
    <row r="17" spans="1:54" x14ac:dyDescent="0.25">
      <c r="A17" s="33" t="s">
        <v>61</v>
      </c>
      <c r="B17" s="33" t="s">
        <v>62</v>
      </c>
      <c r="C17" s="34">
        <v>45481</v>
      </c>
      <c r="D17" s="33">
        <v>410070</v>
      </c>
      <c r="E17" s="34" t="s">
        <v>63</v>
      </c>
      <c r="F17" s="33" t="s">
        <v>64</v>
      </c>
      <c r="G17" s="35">
        <v>1.91</v>
      </c>
      <c r="H17" s="33">
        <v>2000</v>
      </c>
      <c r="I17" s="33">
        <f t="shared" si="0"/>
        <v>3820</v>
      </c>
      <c r="J17" s="48">
        <f>WasteShipmentData[[#This Row],[Standardized Volume in lbs]]/2.2</f>
        <v>1736.3636363636363</v>
      </c>
      <c r="K17" s="48">
        <f>8*2000</f>
        <v>16000</v>
      </c>
      <c r="L17" s="33" t="s">
        <v>65</v>
      </c>
      <c r="M17" s="33" t="s">
        <v>63</v>
      </c>
      <c r="N17" s="33" t="s">
        <v>66</v>
      </c>
      <c r="O17" s="33" t="s">
        <v>63</v>
      </c>
      <c r="P17" s="33" t="s">
        <v>63</v>
      </c>
      <c r="Q17" s="33" t="s">
        <v>63</v>
      </c>
      <c r="R17" s="33" t="s">
        <v>63</v>
      </c>
      <c r="S17" s="33" t="s">
        <v>77</v>
      </c>
      <c r="T17" s="33" t="s">
        <v>78</v>
      </c>
      <c r="U17" s="33" t="s">
        <v>63</v>
      </c>
      <c r="V17" s="33" t="s">
        <v>69</v>
      </c>
      <c r="W17" s="33" t="s">
        <v>70</v>
      </c>
      <c r="X17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17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17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17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17" s="33" t="s">
        <v>71</v>
      </c>
      <c r="AC17" s="33" t="s">
        <v>72</v>
      </c>
      <c r="AD17" s="33">
        <v>12.3</v>
      </c>
      <c r="AE17" s="33" t="s">
        <v>73</v>
      </c>
      <c r="AF17" s="38" t="s">
        <v>74</v>
      </c>
      <c r="AG17" s="38" t="s">
        <v>75</v>
      </c>
      <c r="AH17" s="33">
        <v>37143</v>
      </c>
      <c r="AI17" s="33" t="s">
        <v>63</v>
      </c>
      <c r="AJ17" s="33" t="s">
        <v>71</v>
      </c>
      <c r="AK17" s="37">
        <v>450.98</v>
      </c>
      <c r="AL17" s="37">
        <v>108.58</v>
      </c>
      <c r="AM17" s="37">
        <f t="shared" si="1"/>
        <v>207.3878</v>
      </c>
      <c r="AN17" s="37">
        <v>0</v>
      </c>
      <c r="AO17" s="37">
        <v>0</v>
      </c>
      <c r="AP17" s="37">
        <v>0</v>
      </c>
      <c r="AQ17" s="37">
        <v>0</v>
      </c>
      <c r="AR17" s="37">
        <v>275</v>
      </c>
      <c r="AS17" s="37">
        <v>90</v>
      </c>
      <c r="AT17" s="37">
        <f t="shared" si="2"/>
        <v>171.9</v>
      </c>
      <c r="AU17" s="47">
        <v>0</v>
      </c>
      <c r="AV17" s="47">
        <v>0</v>
      </c>
      <c r="AW17" s="37">
        <v>0</v>
      </c>
      <c r="AX17" s="37">
        <v>0</v>
      </c>
      <c r="AY17" s="30"/>
      <c r="AZ17" s="30"/>
      <c r="BA17" s="30"/>
      <c r="BB17" s="30"/>
    </row>
    <row r="18" spans="1:54" x14ac:dyDescent="0.25">
      <c r="A18" s="33" t="s">
        <v>61</v>
      </c>
      <c r="B18" s="33" t="s">
        <v>62</v>
      </c>
      <c r="C18" s="34">
        <v>45481</v>
      </c>
      <c r="D18" s="33">
        <v>410071</v>
      </c>
      <c r="E18" s="34" t="s">
        <v>63</v>
      </c>
      <c r="F18" s="33" t="s">
        <v>64</v>
      </c>
      <c r="G18" s="35">
        <v>0.6</v>
      </c>
      <c r="H18" s="33">
        <v>2000</v>
      </c>
      <c r="I18" s="33">
        <f t="shared" si="0"/>
        <v>1200</v>
      </c>
      <c r="J18" s="48">
        <f>WasteShipmentData[[#This Row],[Standardized Volume in lbs]]/2.2</f>
        <v>545.45454545454538</v>
      </c>
      <c r="K18" s="48">
        <f>8*2000</f>
        <v>16000</v>
      </c>
      <c r="L18" s="33" t="s">
        <v>65</v>
      </c>
      <c r="M18" s="33" t="s">
        <v>63</v>
      </c>
      <c r="N18" s="33" t="s">
        <v>66</v>
      </c>
      <c r="O18" s="33" t="s">
        <v>63</v>
      </c>
      <c r="P18" s="33" t="s">
        <v>63</v>
      </c>
      <c r="Q18" s="33" t="s">
        <v>63</v>
      </c>
      <c r="R18" s="33" t="s">
        <v>63</v>
      </c>
      <c r="S18" s="33" t="s">
        <v>77</v>
      </c>
      <c r="T18" s="33" t="s">
        <v>78</v>
      </c>
      <c r="U18" s="33" t="s">
        <v>63</v>
      </c>
      <c r="V18" s="33" t="s">
        <v>69</v>
      </c>
      <c r="W18" s="33" t="s">
        <v>70</v>
      </c>
      <c r="X18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18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18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18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18" s="33" t="s">
        <v>71</v>
      </c>
      <c r="AC18" s="33" t="s">
        <v>72</v>
      </c>
      <c r="AD18" s="33">
        <v>12.3</v>
      </c>
      <c r="AE18" s="33" t="s">
        <v>73</v>
      </c>
      <c r="AF18" s="38" t="s">
        <v>74</v>
      </c>
      <c r="AG18" s="38" t="s">
        <v>75</v>
      </c>
      <c r="AH18" s="33">
        <v>37143</v>
      </c>
      <c r="AI18" s="33" t="s">
        <v>63</v>
      </c>
      <c r="AJ18" s="33" t="s">
        <v>71</v>
      </c>
      <c r="AK18" s="37">
        <v>450.98</v>
      </c>
      <c r="AL18" s="37">
        <v>108.58</v>
      </c>
      <c r="AM18" s="37">
        <f t="shared" si="1"/>
        <v>65.147999999999996</v>
      </c>
      <c r="AN18" s="37">
        <v>0</v>
      </c>
      <c r="AO18" s="37">
        <v>0</v>
      </c>
      <c r="AP18" s="37">
        <v>0</v>
      </c>
      <c r="AQ18" s="37">
        <v>0</v>
      </c>
      <c r="AR18" s="37">
        <v>275</v>
      </c>
      <c r="AS18" s="37">
        <v>90</v>
      </c>
      <c r="AT18" s="37">
        <f t="shared" si="2"/>
        <v>54</v>
      </c>
      <c r="AU18" s="47">
        <v>0</v>
      </c>
      <c r="AV18" s="47">
        <v>0</v>
      </c>
      <c r="AW18" s="37">
        <v>0</v>
      </c>
      <c r="AX18" s="37">
        <v>0</v>
      </c>
      <c r="AY18" s="30"/>
      <c r="AZ18" s="30"/>
      <c r="BA18" s="30"/>
      <c r="BB18" s="30"/>
    </row>
    <row r="19" spans="1:54" x14ac:dyDescent="0.25">
      <c r="A19" s="33" t="s">
        <v>61</v>
      </c>
      <c r="B19" s="33" t="s">
        <v>62</v>
      </c>
      <c r="C19" s="34">
        <v>45482</v>
      </c>
      <c r="D19" s="33">
        <v>410074</v>
      </c>
      <c r="E19" s="34" t="s">
        <v>63</v>
      </c>
      <c r="F19" s="33" t="s">
        <v>64</v>
      </c>
      <c r="G19" s="35">
        <v>1.05</v>
      </c>
      <c r="H19" s="33">
        <v>2000</v>
      </c>
      <c r="I19" s="33">
        <f t="shared" si="0"/>
        <v>2100</v>
      </c>
      <c r="J19" s="48">
        <f>WasteShipmentData[[#This Row],[Standardized Volume in lbs]]/2.2</f>
        <v>954.5454545454545</v>
      </c>
      <c r="K19" s="48">
        <v>2500</v>
      </c>
      <c r="L19" s="33" t="s">
        <v>65</v>
      </c>
      <c r="M19" s="33" t="s">
        <v>63</v>
      </c>
      <c r="N19" s="33" t="s">
        <v>66</v>
      </c>
      <c r="O19" s="33" t="s">
        <v>63</v>
      </c>
      <c r="P19" s="33" t="s">
        <v>63</v>
      </c>
      <c r="Q19" s="33" t="s">
        <v>63</v>
      </c>
      <c r="R19" s="33" t="s">
        <v>63</v>
      </c>
      <c r="S19" s="33" t="s">
        <v>67</v>
      </c>
      <c r="T19" s="33" t="s">
        <v>68</v>
      </c>
      <c r="U19" s="33" t="s">
        <v>63</v>
      </c>
      <c r="V19" s="33" t="s">
        <v>69</v>
      </c>
      <c r="W19" s="33" t="s">
        <v>70</v>
      </c>
      <c r="X19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19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19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19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19" s="33" t="s">
        <v>71</v>
      </c>
      <c r="AC19" s="33" t="s">
        <v>72</v>
      </c>
      <c r="AD19" s="33">
        <v>12.3</v>
      </c>
      <c r="AE19" s="33" t="s">
        <v>73</v>
      </c>
      <c r="AF19" s="38" t="s">
        <v>74</v>
      </c>
      <c r="AG19" s="38" t="s">
        <v>75</v>
      </c>
      <c r="AH19" s="33">
        <v>37143</v>
      </c>
      <c r="AI19" s="33" t="s">
        <v>63</v>
      </c>
      <c r="AJ19" s="33" t="s">
        <v>71</v>
      </c>
      <c r="AK19" s="37">
        <v>450.98</v>
      </c>
      <c r="AL19" s="37">
        <v>108.58</v>
      </c>
      <c r="AM19" s="37">
        <f t="shared" si="1"/>
        <v>114.009</v>
      </c>
      <c r="AN19" s="37">
        <v>0</v>
      </c>
      <c r="AO19" s="37">
        <v>0</v>
      </c>
      <c r="AP19" s="37">
        <v>0</v>
      </c>
      <c r="AQ19" s="37">
        <v>0</v>
      </c>
      <c r="AR19" s="37">
        <v>275</v>
      </c>
      <c r="AS19" s="37">
        <v>90</v>
      </c>
      <c r="AT19" s="37">
        <f t="shared" si="2"/>
        <v>94.5</v>
      </c>
      <c r="AU19" s="47">
        <v>0</v>
      </c>
      <c r="AV19" s="47">
        <v>0</v>
      </c>
      <c r="AW19" s="37">
        <v>0</v>
      </c>
      <c r="AX19" s="37">
        <v>0</v>
      </c>
      <c r="AY19" s="30"/>
      <c r="AZ19" s="30"/>
      <c r="BA19" s="30"/>
      <c r="BB19" s="30"/>
    </row>
    <row r="20" spans="1:54" x14ac:dyDescent="0.25">
      <c r="A20" s="33" t="s">
        <v>82</v>
      </c>
      <c r="B20" s="33" t="s">
        <v>76</v>
      </c>
      <c r="C20" s="34">
        <v>45483</v>
      </c>
      <c r="D20" s="33">
        <v>410075</v>
      </c>
      <c r="E20" s="34" t="s">
        <v>63</v>
      </c>
      <c r="F20" s="33" t="s">
        <v>64</v>
      </c>
      <c r="G20" s="35">
        <v>10.68</v>
      </c>
      <c r="H20" s="33">
        <v>2000</v>
      </c>
      <c r="I20" s="33">
        <f t="shared" si="0"/>
        <v>21360</v>
      </c>
      <c r="J20" s="48">
        <f>WasteShipmentData[[#This Row],[Standardized Volume in lbs]]/2.2</f>
        <v>9709.0909090909081</v>
      </c>
      <c r="K20" s="48">
        <f t="shared" ref="K20:K26" si="3">8*2000</f>
        <v>16000</v>
      </c>
      <c r="L20" s="33" t="s">
        <v>83</v>
      </c>
      <c r="M20" s="33" t="s">
        <v>63</v>
      </c>
      <c r="N20" s="33" t="s">
        <v>83</v>
      </c>
      <c r="O20" s="33" t="s">
        <v>63</v>
      </c>
      <c r="P20" s="33" t="s">
        <v>63</v>
      </c>
      <c r="Q20" s="33" t="s">
        <v>63</v>
      </c>
      <c r="R20" s="33" t="s">
        <v>63</v>
      </c>
      <c r="S20" s="33" t="s">
        <v>84</v>
      </c>
      <c r="T20" s="33" t="s">
        <v>68</v>
      </c>
      <c r="U20" s="33" t="s">
        <v>63</v>
      </c>
      <c r="V20" s="33" t="s">
        <v>69</v>
      </c>
      <c r="W20" s="33" t="s">
        <v>70</v>
      </c>
      <c r="X20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20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20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20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20" s="33" t="s">
        <v>85</v>
      </c>
      <c r="AC20" s="33" t="s">
        <v>86</v>
      </c>
      <c r="AD20" s="33">
        <v>281.5</v>
      </c>
      <c r="AE20" s="33" t="s">
        <v>87</v>
      </c>
      <c r="AF20" s="38" t="s">
        <v>88</v>
      </c>
      <c r="AG20" s="38" t="s">
        <v>75</v>
      </c>
      <c r="AH20" s="33">
        <v>37660</v>
      </c>
      <c r="AI20" s="33" t="s">
        <v>63</v>
      </c>
      <c r="AJ20" s="33" t="s">
        <v>89</v>
      </c>
      <c r="AK20" s="37">
        <v>0</v>
      </c>
      <c r="AL20" s="37">
        <v>7.5</v>
      </c>
      <c r="AM20" s="37">
        <f t="shared" si="1"/>
        <v>80.099999999999994</v>
      </c>
      <c r="AN20" s="37">
        <v>0</v>
      </c>
      <c r="AO20" s="37">
        <v>0</v>
      </c>
      <c r="AP20" s="37">
        <v>0</v>
      </c>
      <c r="AQ20" s="37">
        <v>0</v>
      </c>
      <c r="AR20" s="37">
        <v>0</v>
      </c>
      <c r="AS20" s="37"/>
      <c r="AT20" s="37">
        <f t="shared" si="2"/>
        <v>0</v>
      </c>
      <c r="AU20" s="47">
        <v>0</v>
      </c>
      <c r="AV20" s="47">
        <v>0</v>
      </c>
      <c r="AW20" s="37">
        <f>G20*-155</f>
        <v>-1655.3999999999999</v>
      </c>
      <c r="AX20" s="37">
        <v>0</v>
      </c>
      <c r="AY20" s="30"/>
      <c r="AZ20" s="30"/>
      <c r="BA20" s="30"/>
      <c r="BB20" s="30"/>
    </row>
    <row r="21" spans="1:54" x14ac:dyDescent="0.25">
      <c r="A21" s="33" t="s">
        <v>79</v>
      </c>
      <c r="B21" s="33" t="s">
        <v>80</v>
      </c>
      <c r="C21" s="39">
        <v>45484</v>
      </c>
      <c r="D21" s="33">
        <v>410078</v>
      </c>
      <c r="E21" s="34" t="s">
        <v>63</v>
      </c>
      <c r="F21" s="33" t="s">
        <v>64</v>
      </c>
      <c r="G21" s="33">
        <v>6.42</v>
      </c>
      <c r="H21" s="33">
        <v>2000</v>
      </c>
      <c r="I21" s="33">
        <f t="shared" si="0"/>
        <v>12840</v>
      </c>
      <c r="J21" s="48">
        <f>WasteShipmentData[[#This Row],[Standardized Volume in lbs]]/2.2</f>
        <v>5836.363636363636</v>
      </c>
      <c r="K21" s="48">
        <f t="shared" si="3"/>
        <v>16000</v>
      </c>
      <c r="L21" s="33" t="s">
        <v>65</v>
      </c>
      <c r="M21" s="33" t="s">
        <v>63</v>
      </c>
      <c r="N21" s="33" t="s">
        <v>66</v>
      </c>
      <c r="O21" s="33" t="s">
        <v>63</v>
      </c>
      <c r="P21" s="33" t="s">
        <v>63</v>
      </c>
      <c r="Q21" s="33" t="s">
        <v>63</v>
      </c>
      <c r="R21" s="33" t="s">
        <v>63</v>
      </c>
      <c r="S21" s="33" t="s">
        <v>67</v>
      </c>
      <c r="T21" s="33" t="s">
        <v>68</v>
      </c>
      <c r="U21" s="33" t="s">
        <v>63</v>
      </c>
      <c r="V21" s="33" t="s">
        <v>69</v>
      </c>
      <c r="W21" s="33" t="s">
        <v>70</v>
      </c>
      <c r="X21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21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21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21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21" s="33" t="s">
        <v>71</v>
      </c>
      <c r="AC21" s="33" t="s">
        <v>72</v>
      </c>
      <c r="AD21" s="33">
        <v>12.3</v>
      </c>
      <c r="AE21" s="33" t="s">
        <v>73</v>
      </c>
      <c r="AF21" s="38" t="s">
        <v>74</v>
      </c>
      <c r="AG21" s="38" t="s">
        <v>75</v>
      </c>
      <c r="AH21" s="33">
        <v>37143</v>
      </c>
      <c r="AI21" s="33" t="s">
        <v>63</v>
      </c>
      <c r="AJ21" s="33" t="s">
        <v>71</v>
      </c>
      <c r="AK21" s="37">
        <v>717.46</v>
      </c>
      <c r="AL21" s="37">
        <v>80.709999999999994</v>
      </c>
      <c r="AM21" s="37">
        <f t="shared" si="1"/>
        <v>518.15819999999997</v>
      </c>
      <c r="AN21" s="37">
        <v>0</v>
      </c>
      <c r="AO21" s="37">
        <v>0</v>
      </c>
      <c r="AP21" s="37">
        <v>0</v>
      </c>
      <c r="AQ21" s="37">
        <v>122.97</v>
      </c>
      <c r="AR21" s="37">
        <v>400</v>
      </c>
      <c r="AS21" s="37">
        <v>45</v>
      </c>
      <c r="AT21" s="37">
        <f t="shared" si="2"/>
        <v>288.89999999999998</v>
      </c>
      <c r="AU21" s="47">
        <v>0</v>
      </c>
      <c r="AV21" s="47">
        <v>0</v>
      </c>
      <c r="AW21" s="37">
        <v>0</v>
      </c>
      <c r="AX21" s="37">
        <v>75</v>
      </c>
      <c r="AY21" s="30"/>
      <c r="AZ21" s="30"/>
      <c r="BA21" s="30"/>
      <c r="BB21" s="30"/>
    </row>
    <row r="22" spans="1:54" x14ac:dyDescent="0.25">
      <c r="A22" s="33" t="s">
        <v>61</v>
      </c>
      <c r="B22" s="33" t="s">
        <v>62</v>
      </c>
      <c r="C22" s="34">
        <v>45484</v>
      </c>
      <c r="D22" s="33">
        <v>410077</v>
      </c>
      <c r="E22" s="34" t="s">
        <v>63</v>
      </c>
      <c r="F22" s="33" t="s">
        <v>64</v>
      </c>
      <c r="G22" s="35">
        <v>2.76</v>
      </c>
      <c r="H22" s="33">
        <v>2000</v>
      </c>
      <c r="I22" s="33">
        <f t="shared" si="0"/>
        <v>5520</v>
      </c>
      <c r="J22" s="48">
        <f>WasteShipmentData[[#This Row],[Standardized Volume in lbs]]/2.2</f>
        <v>2509.090909090909</v>
      </c>
      <c r="K22" s="48">
        <f t="shared" si="3"/>
        <v>16000</v>
      </c>
      <c r="L22" s="33" t="s">
        <v>65</v>
      </c>
      <c r="M22" s="33" t="s">
        <v>63</v>
      </c>
      <c r="N22" s="33" t="s">
        <v>66</v>
      </c>
      <c r="O22" s="33" t="s">
        <v>63</v>
      </c>
      <c r="P22" s="33" t="s">
        <v>63</v>
      </c>
      <c r="Q22" s="33" t="s">
        <v>63</v>
      </c>
      <c r="R22" s="33" t="s">
        <v>63</v>
      </c>
      <c r="S22" s="33" t="s">
        <v>77</v>
      </c>
      <c r="T22" s="33" t="s">
        <v>78</v>
      </c>
      <c r="U22" s="33" t="s">
        <v>63</v>
      </c>
      <c r="V22" s="33" t="s">
        <v>69</v>
      </c>
      <c r="W22" s="33" t="s">
        <v>70</v>
      </c>
      <c r="X22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22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22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22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22" s="33" t="s">
        <v>71</v>
      </c>
      <c r="AC22" s="33" t="s">
        <v>72</v>
      </c>
      <c r="AD22" s="33">
        <v>12.3</v>
      </c>
      <c r="AE22" s="33" t="s">
        <v>73</v>
      </c>
      <c r="AF22" s="38" t="s">
        <v>74</v>
      </c>
      <c r="AG22" s="38" t="s">
        <v>75</v>
      </c>
      <c r="AH22" s="33">
        <v>37143</v>
      </c>
      <c r="AI22" s="33" t="s">
        <v>63</v>
      </c>
      <c r="AJ22" s="33" t="s">
        <v>71</v>
      </c>
      <c r="AK22" s="37">
        <v>450.98</v>
      </c>
      <c r="AL22" s="37">
        <v>108.58</v>
      </c>
      <c r="AM22" s="37">
        <f t="shared" si="1"/>
        <v>299.68079999999998</v>
      </c>
      <c r="AN22" s="37">
        <v>0</v>
      </c>
      <c r="AO22" s="37">
        <v>0</v>
      </c>
      <c r="AP22" s="37">
        <v>0</v>
      </c>
      <c r="AQ22" s="37">
        <v>0</v>
      </c>
      <c r="AR22" s="37">
        <v>275</v>
      </c>
      <c r="AS22" s="37">
        <v>90</v>
      </c>
      <c r="AT22" s="37">
        <f t="shared" si="2"/>
        <v>248.39999999999998</v>
      </c>
      <c r="AU22" s="47">
        <v>0</v>
      </c>
      <c r="AV22" s="47">
        <v>0</v>
      </c>
      <c r="AW22" s="37">
        <v>0</v>
      </c>
      <c r="AX22" s="37">
        <v>0</v>
      </c>
      <c r="AY22" s="30"/>
      <c r="AZ22" s="30"/>
      <c r="BA22" s="30"/>
      <c r="BB22" s="30"/>
    </row>
    <row r="23" spans="1:54" x14ac:dyDescent="0.25">
      <c r="A23" s="33" t="s">
        <v>61</v>
      </c>
      <c r="B23" s="33" t="s">
        <v>62</v>
      </c>
      <c r="C23" s="34">
        <v>45484</v>
      </c>
      <c r="D23" s="33">
        <v>410076</v>
      </c>
      <c r="E23" s="34" t="s">
        <v>63</v>
      </c>
      <c r="F23" s="33" t="s">
        <v>64</v>
      </c>
      <c r="G23" s="35">
        <v>5.21</v>
      </c>
      <c r="H23" s="33">
        <v>2000</v>
      </c>
      <c r="I23" s="33">
        <f t="shared" si="0"/>
        <v>10420</v>
      </c>
      <c r="J23" s="48">
        <f>WasteShipmentData[[#This Row],[Standardized Volume in lbs]]/2.2</f>
        <v>4736.363636363636</v>
      </c>
      <c r="K23" s="48">
        <f t="shared" si="3"/>
        <v>16000</v>
      </c>
      <c r="L23" s="33" t="s">
        <v>65</v>
      </c>
      <c r="M23" s="33" t="s">
        <v>63</v>
      </c>
      <c r="N23" s="33" t="s">
        <v>66</v>
      </c>
      <c r="O23" s="33" t="s">
        <v>63</v>
      </c>
      <c r="P23" s="33" t="s">
        <v>63</v>
      </c>
      <c r="Q23" s="33" t="s">
        <v>63</v>
      </c>
      <c r="R23" s="33" t="s">
        <v>63</v>
      </c>
      <c r="S23" s="33" t="s">
        <v>77</v>
      </c>
      <c r="T23" s="33" t="s">
        <v>78</v>
      </c>
      <c r="U23" s="33" t="s">
        <v>63</v>
      </c>
      <c r="V23" s="33" t="s">
        <v>69</v>
      </c>
      <c r="W23" s="33" t="s">
        <v>70</v>
      </c>
      <c r="X23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23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23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23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23" s="33" t="s">
        <v>71</v>
      </c>
      <c r="AC23" s="33" t="s">
        <v>72</v>
      </c>
      <c r="AD23" s="33">
        <v>12.3</v>
      </c>
      <c r="AE23" s="33" t="s">
        <v>73</v>
      </c>
      <c r="AF23" s="38" t="s">
        <v>74</v>
      </c>
      <c r="AG23" s="38" t="s">
        <v>75</v>
      </c>
      <c r="AH23" s="33">
        <v>37143</v>
      </c>
      <c r="AI23" s="33" t="s">
        <v>63</v>
      </c>
      <c r="AJ23" s="33" t="s">
        <v>71</v>
      </c>
      <c r="AK23" s="37">
        <v>450.98</v>
      </c>
      <c r="AL23" s="37">
        <v>108.58</v>
      </c>
      <c r="AM23" s="37">
        <f t="shared" si="1"/>
        <v>565.70179999999993</v>
      </c>
      <c r="AN23" s="37">
        <v>0</v>
      </c>
      <c r="AO23" s="37">
        <v>0</v>
      </c>
      <c r="AP23" s="37">
        <v>0</v>
      </c>
      <c r="AQ23" s="37">
        <v>0</v>
      </c>
      <c r="AR23" s="37">
        <v>275</v>
      </c>
      <c r="AS23" s="37">
        <v>90</v>
      </c>
      <c r="AT23" s="37">
        <f t="shared" si="2"/>
        <v>468.9</v>
      </c>
      <c r="AU23" s="47">
        <v>0</v>
      </c>
      <c r="AV23" s="47">
        <v>0</v>
      </c>
      <c r="AW23" s="37">
        <v>0</v>
      </c>
      <c r="AX23" s="37">
        <v>0</v>
      </c>
      <c r="AY23" s="30"/>
      <c r="AZ23" s="30"/>
      <c r="BA23" s="30"/>
      <c r="BB23" s="30"/>
    </row>
    <row r="24" spans="1:54" x14ac:dyDescent="0.25">
      <c r="A24" s="33" t="s">
        <v>82</v>
      </c>
      <c r="B24" s="33" t="s">
        <v>76</v>
      </c>
      <c r="C24" s="34">
        <v>45484</v>
      </c>
      <c r="D24" s="33">
        <v>410079</v>
      </c>
      <c r="E24" s="34" t="s">
        <v>63</v>
      </c>
      <c r="F24" s="33" t="s">
        <v>64</v>
      </c>
      <c r="G24" s="35">
        <v>7.15</v>
      </c>
      <c r="H24" s="33">
        <v>2000</v>
      </c>
      <c r="I24" s="33">
        <f t="shared" si="0"/>
        <v>14300</v>
      </c>
      <c r="J24" s="48">
        <f>WasteShipmentData[[#This Row],[Standardized Volume in lbs]]/2.2</f>
        <v>6499.9999999999991</v>
      </c>
      <c r="K24" s="48">
        <f t="shared" si="3"/>
        <v>16000</v>
      </c>
      <c r="L24" s="33" t="s">
        <v>83</v>
      </c>
      <c r="M24" s="33" t="s">
        <v>63</v>
      </c>
      <c r="N24" s="33" t="s">
        <v>83</v>
      </c>
      <c r="O24" s="33" t="s">
        <v>63</v>
      </c>
      <c r="P24" s="33" t="s">
        <v>63</v>
      </c>
      <c r="Q24" s="33" t="s">
        <v>63</v>
      </c>
      <c r="R24" s="33" t="s">
        <v>63</v>
      </c>
      <c r="S24" s="33" t="s">
        <v>84</v>
      </c>
      <c r="T24" s="33" t="s">
        <v>68</v>
      </c>
      <c r="U24" s="33" t="s">
        <v>63</v>
      </c>
      <c r="V24" s="33" t="s">
        <v>69</v>
      </c>
      <c r="W24" s="33" t="s">
        <v>70</v>
      </c>
      <c r="X24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24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24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24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24" s="33" t="s">
        <v>85</v>
      </c>
      <c r="AC24" s="33" t="s">
        <v>86</v>
      </c>
      <c r="AD24" s="33">
        <v>281.5</v>
      </c>
      <c r="AE24" s="33" t="s">
        <v>87</v>
      </c>
      <c r="AF24" s="38" t="s">
        <v>88</v>
      </c>
      <c r="AG24" s="38" t="s">
        <v>75</v>
      </c>
      <c r="AH24" s="33">
        <v>37660</v>
      </c>
      <c r="AI24" s="33" t="s">
        <v>63</v>
      </c>
      <c r="AJ24" s="33" t="s">
        <v>89</v>
      </c>
      <c r="AK24" s="37">
        <v>0</v>
      </c>
      <c r="AL24" s="37">
        <v>7.5</v>
      </c>
      <c r="AM24" s="37">
        <f t="shared" si="1"/>
        <v>53.625</v>
      </c>
      <c r="AN24" s="37">
        <v>0</v>
      </c>
      <c r="AO24" s="37">
        <v>0</v>
      </c>
      <c r="AP24" s="37">
        <v>0</v>
      </c>
      <c r="AQ24" s="37">
        <v>0</v>
      </c>
      <c r="AR24" s="37">
        <v>0</v>
      </c>
      <c r="AS24" s="37"/>
      <c r="AT24" s="37">
        <f t="shared" si="2"/>
        <v>0</v>
      </c>
      <c r="AU24" s="47">
        <v>0</v>
      </c>
      <c r="AV24" s="47">
        <v>0</v>
      </c>
      <c r="AW24" s="37">
        <f>G24*-155</f>
        <v>-1108.25</v>
      </c>
      <c r="AX24" s="37">
        <v>0</v>
      </c>
      <c r="AY24" s="30"/>
      <c r="AZ24" s="30"/>
      <c r="BA24" s="30"/>
      <c r="BB24" s="30"/>
    </row>
    <row r="25" spans="1:54" x14ac:dyDescent="0.25">
      <c r="A25" s="33" t="s">
        <v>79</v>
      </c>
      <c r="B25" s="33" t="s">
        <v>80</v>
      </c>
      <c r="C25" s="39">
        <v>45485</v>
      </c>
      <c r="D25" s="33">
        <v>410080</v>
      </c>
      <c r="E25" s="34" t="s">
        <v>63</v>
      </c>
      <c r="F25" s="33" t="s">
        <v>64</v>
      </c>
      <c r="G25" s="33">
        <v>9.56</v>
      </c>
      <c r="H25" s="33">
        <v>2000</v>
      </c>
      <c r="I25" s="33">
        <f t="shared" si="0"/>
        <v>19120</v>
      </c>
      <c r="J25" s="48">
        <f>WasteShipmentData[[#This Row],[Standardized Volume in lbs]]/2.2</f>
        <v>8690.9090909090901</v>
      </c>
      <c r="K25" s="48">
        <f t="shared" si="3"/>
        <v>16000</v>
      </c>
      <c r="L25" s="33" t="s">
        <v>65</v>
      </c>
      <c r="M25" s="33" t="s">
        <v>63</v>
      </c>
      <c r="N25" s="33" t="s">
        <v>66</v>
      </c>
      <c r="O25" s="33" t="s">
        <v>63</v>
      </c>
      <c r="P25" s="33" t="s">
        <v>63</v>
      </c>
      <c r="Q25" s="33" t="s">
        <v>63</v>
      </c>
      <c r="R25" s="33" t="s">
        <v>63</v>
      </c>
      <c r="S25" s="33" t="s">
        <v>67</v>
      </c>
      <c r="T25" s="33" t="s">
        <v>68</v>
      </c>
      <c r="U25" s="33" t="s">
        <v>63</v>
      </c>
      <c r="V25" s="33" t="s">
        <v>69</v>
      </c>
      <c r="W25" s="33" t="s">
        <v>70</v>
      </c>
      <c r="X25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25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25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25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25" s="33" t="s">
        <v>71</v>
      </c>
      <c r="AC25" s="33" t="s">
        <v>72</v>
      </c>
      <c r="AD25" s="33">
        <v>12.3</v>
      </c>
      <c r="AE25" s="33" t="s">
        <v>73</v>
      </c>
      <c r="AF25" s="38" t="s">
        <v>74</v>
      </c>
      <c r="AG25" s="38" t="s">
        <v>75</v>
      </c>
      <c r="AH25" s="33">
        <v>37143</v>
      </c>
      <c r="AI25" s="33" t="s">
        <v>63</v>
      </c>
      <c r="AJ25" s="33" t="s">
        <v>71</v>
      </c>
      <c r="AK25" s="37">
        <v>717.46</v>
      </c>
      <c r="AL25" s="37">
        <v>80.709999999999994</v>
      </c>
      <c r="AM25" s="37">
        <f t="shared" si="1"/>
        <v>771.58759999999995</v>
      </c>
      <c r="AN25" s="37">
        <v>0</v>
      </c>
      <c r="AO25" s="37">
        <v>0</v>
      </c>
      <c r="AP25" s="37">
        <v>0</v>
      </c>
      <c r="AQ25" s="37">
        <v>122.97</v>
      </c>
      <c r="AR25" s="37">
        <v>400</v>
      </c>
      <c r="AS25" s="37">
        <v>45</v>
      </c>
      <c r="AT25" s="37">
        <f t="shared" si="2"/>
        <v>430.20000000000005</v>
      </c>
      <c r="AU25" s="47">
        <v>0</v>
      </c>
      <c r="AV25" s="47">
        <v>0</v>
      </c>
      <c r="AW25" s="37">
        <v>0</v>
      </c>
      <c r="AX25" s="37">
        <v>75</v>
      </c>
      <c r="AY25" s="30"/>
      <c r="AZ25" s="30"/>
      <c r="BA25" s="30"/>
      <c r="BB25" s="30"/>
    </row>
    <row r="26" spans="1:54" x14ac:dyDescent="0.25">
      <c r="A26" s="33" t="s">
        <v>79</v>
      </c>
      <c r="B26" s="33" t="s">
        <v>80</v>
      </c>
      <c r="C26" s="39">
        <v>45488</v>
      </c>
      <c r="D26" s="33">
        <v>410084</v>
      </c>
      <c r="E26" s="34" t="s">
        <v>63</v>
      </c>
      <c r="F26" s="33" t="s">
        <v>64</v>
      </c>
      <c r="G26" s="33">
        <v>6.36</v>
      </c>
      <c r="H26" s="33">
        <v>2000</v>
      </c>
      <c r="I26" s="33">
        <f t="shared" si="0"/>
        <v>12720</v>
      </c>
      <c r="J26" s="48">
        <f>WasteShipmentData[[#This Row],[Standardized Volume in lbs]]/2.2</f>
        <v>5781.8181818181811</v>
      </c>
      <c r="K26" s="48">
        <f t="shared" si="3"/>
        <v>16000</v>
      </c>
      <c r="L26" s="33" t="s">
        <v>65</v>
      </c>
      <c r="M26" s="33" t="s">
        <v>63</v>
      </c>
      <c r="N26" s="33" t="s">
        <v>66</v>
      </c>
      <c r="O26" s="33" t="s">
        <v>63</v>
      </c>
      <c r="P26" s="33" t="s">
        <v>63</v>
      </c>
      <c r="Q26" s="33" t="s">
        <v>63</v>
      </c>
      <c r="R26" s="33" t="s">
        <v>63</v>
      </c>
      <c r="S26" s="33" t="s">
        <v>67</v>
      </c>
      <c r="T26" s="33" t="s">
        <v>68</v>
      </c>
      <c r="U26" s="33" t="s">
        <v>63</v>
      </c>
      <c r="V26" s="33" t="s">
        <v>69</v>
      </c>
      <c r="W26" s="33" t="s">
        <v>70</v>
      </c>
      <c r="X26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26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26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26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26" s="33" t="s">
        <v>71</v>
      </c>
      <c r="AC26" s="33" t="s">
        <v>72</v>
      </c>
      <c r="AD26" s="33">
        <v>12.3</v>
      </c>
      <c r="AE26" s="33" t="s">
        <v>73</v>
      </c>
      <c r="AF26" s="38" t="s">
        <v>74</v>
      </c>
      <c r="AG26" s="38" t="s">
        <v>75</v>
      </c>
      <c r="AH26" s="33">
        <v>37143</v>
      </c>
      <c r="AI26" s="33" t="s">
        <v>63</v>
      </c>
      <c r="AJ26" s="33" t="s">
        <v>71</v>
      </c>
      <c r="AK26" s="37">
        <v>717.46</v>
      </c>
      <c r="AL26" s="37">
        <v>80.709999999999994</v>
      </c>
      <c r="AM26" s="37">
        <f t="shared" si="1"/>
        <v>513.31560000000002</v>
      </c>
      <c r="AN26" s="37">
        <v>0</v>
      </c>
      <c r="AO26" s="37">
        <v>0</v>
      </c>
      <c r="AP26" s="37">
        <v>0</v>
      </c>
      <c r="AQ26" s="37">
        <v>122.97</v>
      </c>
      <c r="AR26" s="37">
        <v>400</v>
      </c>
      <c r="AS26" s="37">
        <v>45</v>
      </c>
      <c r="AT26" s="37">
        <f t="shared" si="2"/>
        <v>286.2</v>
      </c>
      <c r="AU26" s="47">
        <v>0</v>
      </c>
      <c r="AV26" s="47">
        <v>0</v>
      </c>
      <c r="AW26" s="37">
        <v>0</v>
      </c>
      <c r="AX26" s="37">
        <v>75</v>
      </c>
      <c r="AY26" s="30"/>
      <c r="AZ26" s="30"/>
      <c r="BA26" s="30"/>
      <c r="BB26" s="30"/>
    </row>
    <row r="27" spans="1:54" x14ac:dyDescent="0.25">
      <c r="A27" s="33" t="s">
        <v>81</v>
      </c>
      <c r="B27" s="33" t="s">
        <v>80</v>
      </c>
      <c r="C27" s="39">
        <v>45488</v>
      </c>
      <c r="D27" s="33">
        <v>410083</v>
      </c>
      <c r="E27" s="34" t="s">
        <v>63</v>
      </c>
      <c r="F27" s="33" t="s">
        <v>64</v>
      </c>
      <c r="G27" s="33">
        <v>3.17</v>
      </c>
      <c r="H27" s="33">
        <v>2000</v>
      </c>
      <c r="I27" s="33">
        <f t="shared" si="0"/>
        <v>6340</v>
      </c>
      <c r="J27" s="48">
        <f>WasteShipmentData[[#This Row],[Standardized Volume in lbs]]/2.2</f>
        <v>2881.8181818181815</v>
      </c>
      <c r="K27" s="48">
        <v>2000</v>
      </c>
      <c r="L27" s="33" t="s">
        <v>65</v>
      </c>
      <c r="M27" s="33" t="s">
        <v>63</v>
      </c>
      <c r="N27" s="33" t="s">
        <v>66</v>
      </c>
      <c r="O27" s="33" t="s">
        <v>63</v>
      </c>
      <c r="P27" s="33" t="s">
        <v>63</v>
      </c>
      <c r="Q27" s="33" t="s">
        <v>63</v>
      </c>
      <c r="R27" s="33" t="s">
        <v>63</v>
      </c>
      <c r="S27" s="33" t="s">
        <v>67</v>
      </c>
      <c r="T27" s="33" t="s">
        <v>68</v>
      </c>
      <c r="U27" s="33" t="s">
        <v>63</v>
      </c>
      <c r="V27" s="33" t="s">
        <v>69</v>
      </c>
      <c r="W27" s="33" t="s">
        <v>70</v>
      </c>
      <c r="X27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27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27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27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27" s="33" t="s">
        <v>71</v>
      </c>
      <c r="AC27" s="33" t="s">
        <v>72</v>
      </c>
      <c r="AD27" s="33">
        <v>12.3</v>
      </c>
      <c r="AE27" s="33" t="s">
        <v>73</v>
      </c>
      <c r="AF27" s="38" t="s">
        <v>74</v>
      </c>
      <c r="AG27" s="38" t="s">
        <v>75</v>
      </c>
      <c r="AH27" s="33">
        <v>37143</v>
      </c>
      <c r="AI27" s="33" t="s">
        <v>63</v>
      </c>
      <c r="AJ27" s="33" t="s">
        <v>71</v>
      </c>
      <c r="AK27" s="37">
        <v>717.46</v>
      </c>
      <c r="AL27" s="37">
        <v>80.709999999999994</v>
      </c>
      <c r="AM27" s="37">
        <f t="shared" si="1"/>
        <v>255.85069999999996</v>
      </c>
      <c r="AN27" s="37">
        <v>0</v>
      </c>
      <c r="AO27" s="37">
        <v>0</v>
      </c>
      <c r="AP27" s="37">
        <v>0</v>
      </c>
      <c r="AQ27" s="37">
        <v>122.97</v>
      </c>
      <c r="AR27" s="37">
        <v>400</v>
      </c>
      <c r="AS27" s="37">
        <v>45</v>
      </c>
      <c r="AT27" s="37">
        <f t="shared" si="2"/>
        <v>142.65</v>
      </c>
      <c r="AU27" s="47">
        <v>0</v>
      </c>
      <c r="AV27" s="47">
        <v>0</v>
      </c>
      <c r="AW27" s="37">
        <v>0</v>
      </c>
      <c r="AX27" s="37">
        <v>75</v>
      </c>
      <c r="AY27" s="30"/>
      <c r="AZ27" s="30"/>
      <c r="BA27" s="30"/>
      <c r="BB27" s="30"/>
    </row>
    <row r="28" spans="1:54" x14ac:dyDescent="0.25">
      <c r="A28" s="33" t="s">
        <v>61</v>
      </c>
      <c r="B28" s="33" t="s">
        <v>62</v>
      </c>
      <c r="C28" s="34">
        <v>45488</v>
      </c>
      <c r="D28" s="33">
        <v>410081</v>
      </c>
      <c r="E28" s="34" t="s">
        <v>63</v>
      </c>
      <c r="F28" s="33" t="s">
        <v>64</v>
      </c>
      <c r="G28" s="35">
        <v>3.4</v>
      </c>
      <c r="H28" s="33">
        <v>2000</v>
      </c>
      <c r="I28" s="33">
        <f t="shared" si="0"/>
        <v>6800</v>
      </c>
      <c r="J28" s="48">
        <f>WasteShipmentData[[#This Row],[Standardized Volume in lbs]]/2.2</f>
        <v>3090.9090909090905</v>
      </c>
      <c r="K28" s="48">
        <f>8*2000</f>
        <v>16000</v>
      </c>
      <c r="L28" s="33" t="s">
        <v>65</v>
      </c>
      <c r="M28" s="33" t="s">
        <v>63</v>
      </c>
      <c r="N28" s="33" t="s">
        <v>66</v>
      </c>
      <c r="O28" s="33" t="s">
        <v>63</v>
      </c>
      <c r="P28" s="33" t="s">
        <v>63</v>
      </c>
      <c r="Q28" s="33" t="s">
        <v>63</v>
      </c>
      <c r="R28" s="33" t="s">
        <v>63</v>
      </c>
      <c r="S28" s="33" t="s">
        <v>77</v>
      </c>
      <c r="T28" s="33" t="s">
        <v>78</v>
      </c>
      <c r="U28" s="33" t="s">
        <v>63</v>
      </c>
      <c r="V28" s="33" t="s">
        <v>69</v>
      </c>
      <c r="W28" s="33" t="s">
        <v>70</v>
      </c>
      <c r="X28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28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28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28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28" s="33" t="s">
        <v>71</v>
      </c>
      <c r="AC28" s="33" t="s">
        <v>72</v>
      </c>
      <c r="AD28" s="33">
        <v>12.3</v>
      </c>
      <c r="AE28" s="33" t="s">
        <v>73</v>
      </c>
      <c r="AF28" s="38" t="s">
        <v>74</v>
      </c>
      <c r="AG28" s="38" t="s">
        <v>75</v>
      </c>
      <c r="AH28" s="33">
        <v>37143</v>
      </c>
      <c r="AI28" s="33" t="s">
        <v>63</v>
      </c>
      <c r="AJ28" s="33" t="s">
        <v>71</v>
      </c>
      <c r="AK28" s="37">
        <v>450.98</v>
      </c>
      <c r="AL28" s="37">
        <v>108.58</v>
      </c>
      <c r="AM28" s="37">
        <f t="shared" si="1"/>
        <v>369.17199999999997</v>
      </c>
      <c r="AN28" s="37">
        <v>0</v>
      </c>
      <c r="AO28" s="37">
        <v>0</v>
      </c>
      <c r="AP28" s="37">
        <v>0</v>
      </c>
      <c r="AQ28" s="37">
        <v>0</v>
      </c>
      <c r="AR28" s="37">
        <v>275</v>
      </c>
      <c r="AS28" s="37">
        <v>90</v>
      </c>
      <c r="AT28" s="37">
        <f t="shared" si="2"/>
        <v>306</v>
      </c>
      <c r="AU28" s="47">
        <v>0</v>
      </c>
      <c r="AV28" s="47">
        <v>0</v>
      </c>
      <c r="AW28" s="37">
        <v>0</v>
      </c>
      <c r="AX28" s="37">
        <v>0</v>
      </c>
      <c r="AY28" s="30"/>
      <c r="AZ28" s="30"/>
      <c r="BA28" s="30"/>
      <c r="BB28" s="30"/>
    </row>
    <row r="29" spans="1:54" x14ac:dyDescent="0.25">
      <c r="A29" s="33" t="s">
        <v>61</v>
      </c>
      <c r="B29" s="33" t="s">
        <v>62</v>
      </c>
      <c r="C29" s="34">
        <v>45488</v>
      </c>
      <c r="D29" s="33">
        <v>410082</v>
      </c>
      <c r="E29" s="34" t="s">
        <v>63</v>
      </c>
      <c r="F29" s="33" t="s">
        <v>64</v>
      </c>
      <c r="G29" s="35">
        <v>1.65</v>
      </c>
      <c r="H29" s="33">
        <v>2000</v>
      </c>
      <c r="I29" s="33">
        <f t="shared" si="0"/>
        <v>3300</v>
      </c>
      <c r="J29" s="48">
        <f>WasteShipmentData[[#This Row],[Standardized Volume in lbs]]/2.2</f>
        <v>1499.9999999999998</v>
      </c>
      <c r="K29" s="48">
        <f>8*2000</f>
        <v>16000</v>
      </c>
      <c r="L29" s="33" t="s">
        <v>65</v>
      </c>
      <c r="M29" s="33" t="s">
        <v>63</v>
      </c>
      <c r="N29" s="33" t="s">
        <v>66</v>
      </c>
      <c r="O29" s="33" t="s">
        <v>63</v>
      </c>
      <c r="P29" s="33" t="s">
        <v>63</v>
      </c>
      <c r="Q29" s="33" t="s">
        <v>63</v>
      </c>
      <c r="R29" s="33" t="s">
        <v>63</v>
      </c>
      <c r="S29" s="33" t="s">
        <v>77</v>
      </c>
      <c r="T29" s="33" t="s">
        <v>78</v>
      </c>
      <c r="U29" s="33" t="s">
        <v>63</v>
      </c>
      <c r="V29" s="33" t="s">
        <v>69</v>
      </c>
      <c r="W29" s="33" t="s">
        <v>70</v>
      </c>
      <c r="X29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29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29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29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29" s="33" t="s">
        <v>71</v>
      </c>
      <c r="AC29" s="33" t="s">
        <v>72</v>
      </c>
      <c r="AD29" s="33">
        <v>12.3</v>
      </c>
      <c r="AE29" s="33" t="s">
        <v>73</v>
      </c>
      <c r="AF29" s="38" t="s">
        <v>74</v>
      </c>
      <c r="AG29" s="38" t="s">
        <v>75</v>
      </c>
      <c r="AH29" s="33">
        <v>37143</v>
      </c>
      <c r="AI29" s="33" t="s">
        <v>63</v>
      </c>
      <c r="AJ29" s="33" t="s">
        <v>71</v>
      </c>
      <c r="AK29" s="37">
        <v>450.98</v>
      </c>
      <c r="AL29" s="37">
        <v>108.58</v>
      </c>
      <c r="AM29" s="37">
        <f t="shared" si="1"/>
        <v>179.15699999999998</v>
      </c>
      <c r="AN29" s="37">
        <v>0</v>
      </c>
      <c r="AO29" s="37">
        <v>0</v>
      </c>
      <c r="AP29" s="37">
        <v>0</v>
      </c>
      <c r="AQ29" s="37">
        <v>0</v>
      </c>
      <c r="AR29" s="37">
        <v>275</v>
      </c>
      <c r="AS29" s="37">
        <v>90</v>
      </c>
      <c r="AT29" s="37">
        <f t="shared" si="2"/>
        <v>148.5</v>
      </c>
      <c r="AU29" s="47">
        <v>0</v>
      </c>
      <c r="AV29" s="47">
        <v>0</v>
      </c>
      <c r="AW29" s="37">
        <v>0</v>
      </c>
      <c r="AX29" s="37">
        <v>0</v>
      </c>
      <c r="AY29" s="30"/>
      <c r="AZ29" s="30"/>
      <c r="BA29" s="30"/>
      <c r="BB29" s="30"/>
    </row>
    <row r="30" spans="1:54" x14ac:dyDescent="0.25">
      <c r="A30" s="33" t="s">
        <v>90</v>
      </c>
      <c r="B30" s="33" t="s">
        <v>91</v>
      </c>
      <c r="C30" s="34">
        <v>45488</v>
      </c>
      <c r="D30" s="43" t="s">
        <v>92</v>
      </c>
      <c r="E30" s="34">
        <v>45515</v>
      </c>
      <c r="F30" s="33" t="s">
        <v>93</v>
      </c>
      <c r="G30" s="44">
        <v>3</v>
      </c>
      <c r="H30" s="33">
        <v>550</v>
      </c>
      <c r="I30" s="33">
        <f>WasteShipmentData[[#This Row],[Weight in lbs per unit]]*WasteShipmentData[[#This Row],[Qty]]</f>
        <v>1650</v>
      </c>
      <c r="J30" s="48">
        <f>WasteShipmentData[[#This Row],[Standardized Volume in lbs]]/2.2</f>
        <v>749.99999999999989</v>
      </c>
      <c r="K30" s="48">
        <v>550</v>
      </c>
      <c r="L30" s="33" t="s">
        <v>65</v>
      </c>
      <c r="M30" s="33" t="s">
        <v>63</v>
      </c>
      <c r="N30" s="33" t="s">
        <v>83</v>
      </c>
      <c r="O30" s="33" t="s">
        <v>63</v>
      </c>
      <c r="P30" s="33" t="s">
        <v>63</v>
      </c>
      <c r="Q30" s="33" t="s">
        <v>63</v>
      </c>
      <c r="R30" s="33" t="s">
        <v>63</v>
      </c>
      <c r="S30" s="33" t="s">
        <v>94</v>
      </c>
      <c r="T30" s="33" t="s">
        <v>68</v>
      </c>
      <c r="U30" s="33">
        <v>41590</v>
      </c>
      <c r="V30" s="33" t="s">
        <v>69</v>
      </c>
      <c r="W30" s="33" t="s">
        <v>70</v>
      </c>
      <c r="X30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30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30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30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30" s="33" t="s">
        <v>95</v>
      </c>
      <c r="AC30" s="33" t="s">
        <v>95</v>
      </c>
      <c r="AD30" s="33">
        <v>26.9</v>
      </c>
      <c r="AE30" s="33" t="s">
        <v>96</v>
      </c>
      <c r="AF30" s="38" t="s">
        <v>97</v>
      </c>
      <c r="AG30" s="38" t="s">
        <v>75</v>
      </c>
      <c r="AH30" s="33">
        <v>37210</v>
      </c>
      <c r="AI30" s="38" t="s">
        <v>98</v>
      </c>
      <c r="AJ30" s="33" t="s">
        <v>95</v>
      </c>
      <c r="AK30" s="37">
        <v>0</v>
      </c>
      <c r="AL30" s="37">
        <v>1334.03</v>
      </c>
      <c r="AM30" s="37">
        <f t="shared" si="1"/>
        <v>4002.09</v>
      </c>
      <c r="AN30" s="37">
        <v>0</v>
      </c>
      <c r="AO30" s="37">
        <v>0</v>
      </c>
      <c r="AP30" s="37">
        <v>0</v>
      </c>
      <c r="AQ30" s="37">
        <v>0</v>
      </c>
      <c r="AR30" s="37">
        <v>0</v>
      </c>
      <c r="AS30" s="37"/>
      <c r="AT30" s="37">
        <f t="shared" si="2"/>
        <v>0</v>
      </c>
      <c r="AU30" s="47">
        <v>0</v>
      </c>
      <c r="AV30" s="47">
        <v>0</v>
      </c>
      <c r="AW30" s="37">
        <v>0</v>
      </c>
      <c r="AX30" s="37">
        <v>0</v>
      </c>
      <c r="AY30" s="30"/>
      <c r="AZ30" s="30"/>
      <c r="BA30" s="30"/>
      <c r="BB30" s="30"/>
    </row>
    <row r="31" spans="1:54" x14ac:dyDescent="0.25">
      <c r="A31" s="33" t="s">
        <v>99</v>
      </c>
      <c r="B31" s="33" t="s">
        <v>91</v>
      </c>
      <c r="C31" s="34">
        <v>45488</v>
      </c>
      <c r="D31" s="43" t="s">
        <v>92</v>
      </c>
      <c r="E31" s="34">
        <v>45515</v>
      </c>
      <c r="F31" s="33" t="s">
        <v>93</v>
      </c>
      <c r="G31" s="44">
        <v>6</v>
      </c>
      <c r="H31" s="33">
        <v>420</v>
      </c>
      <c r="I31" s="33">
        <f>WasteShipmentData[[#This Row],[Weight in lbs per unit]]*WasteShipmentData[[#This Row],[Qty]]</f>
        <v>2520</v>
      </c>
      <c r="J31" s="48">
        <f>WasteShipmentData[[#This Row],[Standardized Volume in lbs]]/2.2</f>
        <v>1145.4545454545453</v>
      </c>
      <c r="K31" s="48">
        <v>420</v>
      </c>
      <c r="L31" s="33" t="s">
        <v>100</v>
      </c>
      <c r="M31" s="33" t="s">
        <v>101</v>
      </c>
      <c r="N31" s="33" t="s">
        <v>102</v>
      </c>
      <c r="O31" s="33" t="s">
        <v>103</v>
      </c>
      <c r="P31" s="36" t="s">
        <v>104</v>
      </c>
      <c r="Q31" s="33" t="s">
        <v>105</v>
      </c>
      <c r="R31" s="33" t="s">
        <v>106</v>
      </c>
      <c r="S31" s="33" t="s">
        <v>94</v>
      </c>
      <c r="T31" s="33" t="s">
        <v>68</v>
      </c>
      <c r="U31" s="33">
        <v>41587</v>
      </c>
      <c r="V31" s="33" t="s">
        <v>69</v>
      </c>
      <c r="W31" s="33" t="s">
        <v>70</v>
      </c>
      <c r="X31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31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31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31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31" s="33" t="s">
        <v>95</v>
      </c>
      <c r="AC31" s="33" t="s">
        <v>95</v>
      </c>
      <c r="AD31" s="33">
        <v>26.9</v>
      </c>
      <c r="AE31" s="33" t="s">
        <v>96</v>
      </c>
      <c r="AF31" s="38" t="s">
        <v>97</v>
      </c>
      <c r="AG31" s="38" t="s">
        <v>75</v>
      </c>
      <c r="AH31" s="33">
        <v>37210</v>
      </c>
      <c r="AI31" s="38" t="s">
        <v>98</v>
      </c>
      <c r="AJ31" s="33" t="s">
        <v>95</v>
      </c>
      <c r="AK31" s="37">
        <v>30</v>
      </c>
      <c r="AL31" s="37">
        <v>125</v>
      </c>
      <c r="AM31" s="37">
        <f t="shared" si="1"/>
        <v>750</v>
      </c>
      <c r="AN31" s="37">
        <v>0</v>
      </c>
      <c r="AO31" s="37">
        <v>0</v>
      </c>
      <c r="AP31" s="37">
        <v>0</v>
      </c>
      <c r="AQ31" s="37">
        <v>0</v>
      </c>
      <c r="AR31" s="37">
        <v>0</v>
      </c>
      <c r="AS31" s="37"/>
      <c r="AT31" s="37">
        <f t="shared" si="2"/>
        <v>0</v>
      </c>
      <c r="AU31" s="47">
        <v>0</v>
      </c>
      <c r="AV31" s="47">
        <v>0</v>
      </c>
      <c r="AW31" s="37">
        <v>0</v>
      </c>
      <c r="AX31" s="37">
        <v>0</v>
      </c>
      <c r="AY31" s="30"/>
      <c r="AZ31" s="30"/>
      <c r="BA31" s="30"/>
      <c r="BB31" s="30"/>
    </row>
    <row r="32" spans="1:54" x14ac:dyDescent="0.25">
      <c r="A32" s="33" t="s">
        <v>107</v>
      </c>
      <c r="B32" s="33" t="s">
        <v>91</v>
      </c>
      <c r="C32" s="34">
        <v>45488</v>
      </c>
      <c r="D32" s="43" t="s">
        <v>92</v>
      </c>
      <c r="E32" s="34">
        <v>45515</v>
      </c>
      <c r="F32" s="33" t="s">
        <v>93</v>
      </c>
      <c r="G32" s="44">
        <v>8</v>
      </c>
      <c r="H32" s="33">
        <v>420</v>
      </c>
      <c r="I32" s="33">
        <f>WasteShipmentData[[#This Row],[Weight in lbs per unit]]*WasteShipmentData[[#This Row],[Qty]]</f>
        <v>3360</v>
      </c>
      <c r="J32" s="48">
        <f>WasteShipmentData[[#This Row],[Standardized Volume in lbs]]/2.2</f>
        <v>1527.2727272727273</v>
      </c>
      <c r="K32" s="48">
        <v>420</v>
      </c>
      <c r="L32" s="33" t="s">
        <v>100</v>
      </c>
      <c r="M32" s="33" t="s">
        <v>101</v>
      </c>
      <c r="N32" s="33" t="s">
        <v>102</v>
      </c>
      <c r="O32" s="33" t="s">
        <v>103</v>
      </c>
      <c r="P32" s="36" t="s">
        <v>104</v>
      </c>
      <c r="Q32" s="33" t="s">
        <v>105</v>
      </c>
      <c r="R32" s="33" t="s">
        <v>106</v>
      </c>
      <c r="S32" s="33" t="s">
        <v>94</v>
      </c>
      <c r="T32" s="33" t="s">
        <v>68</v>
      </c>
      <c r="U32" s="33">
        <v>41588</v>
      </c>
      <c r="V32" s="33" t="s">
        <v>69</v>
      </c>
      <c r="W32" s="33" t="s">
        <v>70</v>
      </c>
      <c r="X32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32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32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32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32" s="33" t="s">
        <v>95</v>
      </c>
      <c r="AC32" s="33" t="s">
        <v>95</v>
      </c>
      <c r="AD32" s="33">
        <v>26.9</v>
      </c>
      <c r="AE32" s="33" t="s">
        <v>96</v>
      </c>
      <c r="AF32" s="38" t="s">
        <v>97</v>
      </c>
      <c r="AG32" s="38" t="s">
        <v>75</v>
      </c>
      <c r="AH32" s="33">
        <v>37210</v>
      </c>
      <c r="AI32" s="38" t="s">
        <v>98</v>
      </c>
      <c r="AJ32" s="33" t="s">
        <v>95</v>
      </c>
      <c r="AK32" s="37">
        <v>30</v>
      </c>
      <c r="AL32" s="37">
        <v>125</v>
      </c>
      <c r="AM32" s="37">
        <f t="shared" si="1"/>
        <v>1000</v>
      </c>
      <c r="AN32" s="37">
        <v>0</v>
      </c>
      <c r="AO32" s="37">
        <v>0</v>
      </c>
      <c r="AP32" s="37">
        <v>0</v>
      </c>
      <c r="AQ32" s="37">
        <v>0</v>
      </c>
      <c r="AR32" s="37">
        <v>0</v>
      </c>
      <c r="AS32" s="37"/>
      <c r="AT32" s="37">
        <f t="shared" si="2"/>
        <v>0</v>
      </c>
      <c r="AU32" s="47">
        <v>0</v>
      </c>
      <c r="AV32" s="47">
        <v>0</v>
      </c>
      <c r="AW32" s="37">
        <v>0</v>
      </c>
      <c r="AX32" s="37">
        <v>0</v>
      </c>
      <c r="AY32" s="30"/>
      <c r="AZ32" s="30"/>
      <c r="BA32" s="30"/>
      <c r="BB32" s="30"/>
    </row>
    <row r="33" spans="1:54" x14ac:dyDescent="0.25">
      <c r="A33" s="33" t="s">
        <v>108</v>
      </c>
      <c r="B33" s="33" t="s">
        <v>91</v>
      </c>
      <c r="C33" s="34">
        <v>45488</v>
      </c>
      <c r="D33" s="43" t="s">
        <v>92</v>
      </c>
      <c r="E33" s="34">
        <v>45515</v>
      </c>
      <c r="F33" s="33" t="s">
        <v>93</v>
      </c>
      <c r="G33" s="44">
        <v>4</v>
      </c>
      <c r="H33" s="33">
        <v>300</v>
      </c>
      <c r="I33" s="33">
        <f>WasteShipmentData[[#This Row],[Weight in lbs per unit]]*WasteShipmentData[[#This Row],[Qty]]</f>
        <v>1200</v>
      </c>
      <c r="J33" s="48">
        <f>WasteShipmentData[[#This Row],[Standardized Volume in lbs]]/2.2</f>
        <v>545.45454545454538</v>
      </c>
      <c r="K33" s="48">
        <v>2000</v>
      </c>
      <c r="L33" s="33" t="s">
        <v>100</v>
      </c>
      <c r="M33" s="33" t="s">
        <v>101</v>
      </c>
      <c r="N33" s="33" t="s">
        <v>102</v>
      </c>
      <c r="O33" s="33" t="s">
        <v>103</v>
      </c>
      <c r="P33" s="36" t="s">
        <v>104</v>
      </c>
      <c r="Q33" s="33" t="s">
        <v>105</v>
      </c>
      <c r="R33" s="33" t="s">
        <v>106</v>
      </c>
      <c r="S33" s="33" t="s">
        <v>94</v>
      </c>
      <c r="T33" s="33" t="s">
        <v>68</v>
      </c>
      <c r="U33" s="33">
        <v>41589</v>
      </c>
      <c r="V33" s="33" t="s">
        <v>69</v>
      </c>
      <c r="W33" s="33" t="s">
        <v>70</v>
      </c>
      <c r="X33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33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33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33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33" s="33" t="s">
        <v>95</v>
      </c>
      <c r="AC33" s="33" t="s">
        <v>95</v>
      </c>
      <c r="AD33" s="33">
        <v>26.9</v>
      </c>
      <c r="AE33" s="33" t="s">
        <v>96</v>
      </c>
      <c r="AF33" s="38" t="s">
        <v>97</v>
      </c>
      <c r="AG33" s="38" t="s">
        <v>75</v>
      </c>
      <c r="AH33" s="33">
        <v>37210</v>
      </c>
      <c r="AI33" s="38" t="s">
        <v>98</v>
      </c>
      <c r="AJ33" s="33" t="s">
        <v>95</v>
      </c>
      <c r="AK33" s="37">
        <v>30</v>
      </c>
      <c r="AL33" s="37">
        <v>425</v>
      </c>
      <c r="AM33" s="37">
        <f t="shared" si="1"/>
        <v>1700</v>
      </c>
      <c r="AN33" s="37">
        <v>0</v>
      </c>
      <c r="AO33" s="37">
        <v>0</v>
      </c>
      <c r="AP33" s="37">
        <v>0</v>
      </c>
      <c r="AQ33" s="37">
        <v>0</v>
      </c>
      <c r="AR33" s="37">
        <v>0</v>
      </c>
      <c r="AS33" s="37"/>
      <c r="AT33" s="37">
        <f t="shared" si="2"/>
        <v>0</v>
      </c>
      <c r="AU33" s="47">
        <v>0</v>
      </c>
      <c r="AV33" s="47">
        <v>0</v>
      </c>
      <c r="AW33" s="37">
        <v>0</v>
      </c>
      <c r="AX33" s="37">
        <v>0</v>
      </c>
      <c r="AY33" s="30"/>
      <c r="AZ33" s="30"/>
      <c r="BA33" s="30"/>
      <c r="BB33" s="30"/>
    </row>
    <row r="34" spans="1:54" x14ac:dyDescent="0.25">
      <c r="A34" s="33" t="s">
        <v>61</v>
      </c>
      <c r="B34" s="33" t="s">
        <v>76</v>
      </c>
      <c r="C34" s="34">
        <v>45489</v>
      </c>
      <c r="D34" s="33">
        <v>410085</v>
      </c>
      <c r="E34" s="34" t="s">
        <v>63</v>
      </c>
      <c r="F34" s="33" t="s">
        <v>64</v>
      </c>
      <c r="G34" s="35">
        <v>1.08</v>
      </c>
      <c r="H34" s="33">
        <v>2000</v>
      </c>
      <c r="I34" s="33">
        <f t="shared" ref="I34:I69" si="4">G34*2000</f>
        <v>2160</v>
      </c>
      <c r="J34" s="48">
        <f>WasteShipmentData[[#This Row],[Standardized Volume in lbs]]/2.2</f>
        <v>981.81818181818176</v>
      </c>
      <c r="K34" s="48">
        <v>2500</v>
      </c>
      <c r="L34" s="33" t="s">
        <v>65</v>
      </c>
      <c r="M34" s="33" t="s">
        <v>63</v>
      </c>
      <c r="N34" s="33" t="s">
        <v>66</v>
      </c>
      <c r="O34" s="33" t="s">
        <v>63</v>
      </c>
      <c r="P34" s="33" t="s">
        <v>63</v>
      </c>
      <c r="Q34" s="33" t="s">
        <v>63</v>
      </c>
      <c r="R34" s="33" t="s">
        <v>63</v>
      </c>
      <c r="S34" s="33" t="s">
        <v>67</v>
      </c>
      <c r="T34" s="33" t="s">
        <v>68</v>
      </c>
      <c r="U34" s="33" t="s">
        <v>63</v>
      </c>
      <c r="V34" s="33" t="s">
        <v>69</v>
      </c>
      <c r="W34" s="33" t="s">
        <v>70</v>
      </c>
      <c r="X34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34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34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34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34" s="33" t="s">
        <v>71</v>
      </c>
      <c r="AC34" s="33" t="s">
        <v>72</v>
      </c>
      <c r="AD34" s="33">
        <v>12.3</v>
      </c>
      <c r="AE34" s="33" t="s">
        <v>73</v>
      </c>
      <c r="AF34" s="38" t="s">
        <v>74</v>
      </c>
      <c r="AG34" s="38" t="s">
        <v>75</v>
      </c>
      <c r="AH34" s="33">
        <v>37143</v>
      </c>
      <c r="AI34" s="33" t="s">
        <v>63</v>
      </c>
      <c r="AJ34" s="33" t="s">
        <v>71</v>
      </c>
      <c r="AK34" s="37">
        <v>450.98</v>
      </c>
      <c r="AL34" s="37">
        <v>108.58</v>
      </c>
      <c r="AM34" s="37">
        <f t="shared" si="1"/>
        <v>117.2664</v>
      </c>
      <c r="AN34" s="37">
        <v>0</v>
      </c>
      <c r="AO34" s="37">
        <v>0</v>
      </c>
      <c r="AP34" s="37">
        <v>0</v>
      </c>
      <c r="AQ34" s="37">
        <v>0</v>
      </c>
      <c r="AR34" s="37">
        <v>275</v>
      </c>
      <c r="AS34" s="37">
        <v>90</v>
      </c>
      <c r="AT34" s="37">
        <f t="shared" si="2"/>
        <v>97.2</v>
      </c>
      <c r="AU34" s="47">
        <v>0</v>
      </c>
      <c r="AV34" s="47">
        <v>0</v>
      </c>
      <c r="AW34" s="37">
        <v>0</v>
      </c>
      <c r="AX34" s="37">
        <v>0</v>
      </c>
      <c r="AY34" s="30"/>
      <c r="AZ34" s="30"/>
      <c r="BA34" s="30"/>
      <c r="BB34" s="30"/>
    </row>
    <row r="35" spans="1:54" x14ac:dyDescent="0.25">
      <c r="A35" s="33" t="s">
        <v>81</v>
      </c>
      <c r="B35" s="33" t="s">
        <v>80</v>
      </c>
      <c r="C35" s="39">
        <v>45490</v>
      </c>
      <c r="D35" s="33">
        <v>410086</v>
      </c>
      <c r="E35" s="34" t="s">
        <v>63</v>
      </c>
      <c r="F35" s="33" t="s">
        <v>64</v>
      </c>
      <c r="G35" s="33">
        <v>12.51</v>
      </c>
      <c r="H35" s="33">
        <v>2000</v>
      </c>
      <c r="I35" s="33">
        <f t="shared" si="4"/>
        <v>25020</v>
      </c>
      <c r="J35" s="48">
        <f>WasteShipmentData[[#This Row],[Standardized Volume in lbs]]/2.2</f>
        <v>11372.727272727272</v>
      </c>
      <c r="K35" s="48">
        <v>2000</v>
      </c>
      <c r="L35" s="33" t="s">
        <v>65</v>
      </c>
      <c r="M35" s="33" t="s">
        <v>63</v>
      </c>
      <c r="N35" s="33" t="s">
        <v>66</v>
      </c>
      <c r="O35" s="33" t="s">
        <v>63</v>
      </c>
      <c r="P35" s="33" t="s">
        <v>63</v>
      </c>
      <c r="Q35" s="33" t="s">
        <v>63</v>
      </c>
      <c r="R35" s="33" t="s">
        <v>63</v>
      </c>
      <c r="S35" s="33" t="s">
        <v>67</v>
      </c>
      <c r="T35" s="33" t="s">
        <v>68</v>
      </c>
      <c r="U35" s="33" t="s">
        <v>63</v>
      </c>
      <c r="V35" s="33" t="s">
        <v>69</v>
      </c>
      <c r="W35" s="33" t="s">
        <v>70</v>
      </c>
      <c r="X35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35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35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35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35" s="33" t="s">
        <v>71</v>
      </c>
      <c r="AC35" s="33" t="s">
        <v>72</v>
      </c>
      <c r="AD35" s="33">
        <v>12.3</v>
      </c>
      <c r="AE35" s="33" t="s">
        <v>73</v>
      </c>
      <c r="AF35" s="38" t="s">
        <v>74</v>
      </c>
      <c r="AG35" s="38" t="s">
        <v>75</v>
      </c>
      <c r="AH35" s="33">
        <v>37143</v>
      </c>
      <c r="AI35" s="33" t="s">
        <v>63</v>
      </c>
      <c r="AJ35" s="33" t="s">
        <v>71</v>
      </c>
      <c r="AK35" s="37">
        <v>717.46</v>
      </c>
      <c r="AL35" s="37">
        <v>80.709999999999994</v>
      </c>
      <c r="AM35" s="37">
        <f t="shared" ref="AM35:AM66" si="5">AL35*G35</f>
        <v>1009.6820999999999</v>
      </c>
      <c r="AN35" s="37">
        <v>0</v>
      </c>
      <c r="AO35" s="37">
        <v>0</v>
      </c>
      <c r="AP35" s="37">
        <v>0</v>
      </c>
      <c r="AQ35" s="37">
        <v>122.97</v>
      </c>
      <c r="AR35" s="37">
        <v>400</v>
      </c>
      <c r="AS35" s="37">
        <v>45</v>
      </c>
      <c r="AT35" s="37">
        <f t="shared" ref="AT35:AT66" si="6">AS35*G35</f>
        <v>562.95000000000005</v>
      </c>
      <c r="AU35" s="47">
        <v>0</v>
      </c>
      <c r="AV35" s="47">
        <v>0</v>
      </c>
      <c r="AW35" s="37">
        <v>0</v>
      </c>
      <c r="AX35" s="37">
        <v>75</v>
      </c>
      <c r="AY35" s="30"/>
      <c r="AZ35" s="30"/>
      <c r="BA35" s="30"/>
      <c r="BB35" s="30"/>
    </row>
    <row r="36" spans="1:54" x14ac:dyDescent="0.25">
      <c r="A36" s="33" t="s">
        <v>61</v>
      </c>
      <c r="B36" s="33" t="s">
        <v>76</v>
      </c>
      <c r="C36" s="34">
        <v>45490</v>
      </c>
      <c r="D36" s="33">
        <v>410087</v>
      </c>
      <c r="E36" s="34" t="s">
        <v>63</v>
      </c>
      <c r="F36" s="33" t="s">
        <v>64</v>
      </c>
      <c r="G36" s="35">
        <v>1.18</v>
      </c>
      <c r="H36" s="33">
        <v>2000</v>
      </c>
      <c r="I36" s="33">
        <f t="shared" si="4"/>
        <v>2360</v>
      </c>
      <c r="J36" s="48">
        <f>WasteShipmentData[[#This Row],[Standardized Volume in lbs]]/2.2</f>
        <v>1072.7272727272727</v>
      </c>
      <c r="K36" s="48">
        <v>2500</v>
      </c>
      <c r="L36" s="33" t="s">
        <v>65</v>
      </c>
      <c r="M36" s="33" t="s">
        <v>63</v>
      </c>
      <c r="N36" s="33" t="s">
        <v>66</v>
      </c>
      <c r="O36" s="33" t="s">
        <v>63</v>
      </c>
      <c r="P36" s="33" t="s">
        <v>63</v>
      </c>
      <c r="Q36" s="33" t="s">
        <v>63</v>
      </c>
      <c r="R36" s="33" t="s">
        <v>63</v>
      </c>
      <c r="S36" s="33" t="s">
        <v>67</v>
      </c>
      <c r="T36" s="33" t="s">
        <v>68</v>
      </c>
      <c r="U36" s="33" t="s">
        <v>63</v>
      </c>
      <c r="V36" s="33" t="s">
        <v>69</v>
      </c>
      <c r="W36" s="33" t="s">
        <v>70</v>
      </c>
      <c r="X36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36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36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36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36" s="33" t="s">
        <v>71</v>
      </c>
      <c r="AC36" s="33" t="s">
        <v>72</v>
      </c>
      <c r="AD36" s="33">
        <v>12.3</v>
      </c>
      <c r="AE36" s="33" t="s">
        <v>73</v>
      </c>
      <c r="AF36" s="38" t="s">
        <v>74</v>
      </c>
      <c r="AG36" s="38" t="s">
        <v>75</v>
      </c>
      <c r="AH36" s="33">
        <v>37143</v>
      </c>
      <c r="AI36" s="33" t="s">
        <v>63</v>
      </c>
      <c r="AJ36" s="33" t="s">
        <v>71</v>
      </c>
      <c r="AK36" s="37">
        <v>450.98</v>
      </c>
      <c r="AL36" s="37">
        <v>108.58</v>
      </c>
      <c r="AM36" s="37">
        <f t="shared" si="5"/>
        <v>128.12439999999998</v>
      </c>
      <c r="AN36" s="37">
        <v>0</v>
      </c>
      <c r="AO36" s="37">
        <v>0</v>
      </c>
      <c r="AP36" s="37">
        <v>0</v>
      </c>
      <c r="AQ36" s="37">
        <v>0</v>
      </c>
      <c r="AR36" s="37">
        <v>275</v>
      </c>
      <c r="AS36" s="37">
        <v>90</v>
      </c>
      <c r="AT36" s="37">
        <f t="shared" si="6"/>
        <v>106.19999999999999</v>
      </c>
      <c r="AU36" s="47">
        <v>0</v>
      </c>
      <c r="AV36" s="47">
        <v>0</v>
      </c>
      <c r="AW36" s="37">
        <v>0</v>
      </c>
      <c r="AX36" s="37">
        <v>0</v>
      </c>
      <c r="AY36" s="30"/>
      <c r="AZ36" s="30"/>
      <c r="BA36" s="30"/>
      <c r="BB36" s="30"/>
    </row>
    <row r="37" spans="1:54" x14ac:dyDescent="0.25">
      <c r="A37" s="33" t="s">
        <v>61</v>
      </c>
      <c r="B37" s="33" t="s">
        <v>76</v>
      </c>
      <c r="C37" s="34">
        <v>45490</v>
      </c>
      <c r="D37" s="33">
        <v>410088</v>
      </c>
      <c r="E37" s="34" t="s">
        <v>63</v>
      </c>
      <c r="F37" s="33" t="s">
        <v>64</v>
      </c>
      <c r="G37" s="35">
        <v>2.0699999999999998</v>
      </c>
      <c r="H37" s="33">
        <v>2000</v>
      </c>
      <c r="I37" s="33">
        <f t="shared" si="4"/>
        <v>4140</v>
      </c>
      <c r="J37" s="48">
        <f>WasteShipmentData[[#This Row],[Standardized Volume in lbs]]/2.2</f>
        <v>1881.8181818181818</v>
      </c>
      <c r="K37" s="48">
        <v>2500</v>
      </c>
      <c r="L37" s="33" t="s">
        <v>65</v>
      </c>
      <c r="M37" s="33" t="s">
        <v>63</v>
      </c>
      <c r="N37" s="33" t="s">
        <v>66</v>
      </c>
      <c r="O37" s="33" t="s">
        <v>63</v>
      </c>
      <c r="P37" s="33" t="s">
        <v>63</v>
      </c>
      <c r="Q37" s="33" t="s">
        <v>63</v>
      </c>
      <c r="R37" s="33" t="s">
        <v>63</v>
      </c>
      <c r="S37" s="33" t="s">
        <v>67</v>
      </c>
      <c r="T37" s="33" t="s">
        <v>68</v>
      </c>
      <c r="U37" s="33" t="s">
        <v>63</v>
      </c>
      <c r="V37" s="33" t="s">
        <v>69</v>
      </c>
      <c r="W37" s="33" t="s">
        <v>70</v>
      </c>
      <c r="X37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37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37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37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37" s="33" t="s">
        <v>71</v>
      </c>
      <c r="AC37" s="33" t="s">
        <v>72</v>
      </c>
      <c r="AD37" s="33">
        <v>12.3</v>
      </c>
      <c r="AE37" s="33" t="s">
        <v>73</v>
      </c>
      <c r="AF37" s="38" t="s">
        <v>74</v>
      </c>
      <c r="AG37" s="38" t="s">
        <v>75</v>
      </c>
      <c r="AH37" s="33">
        <v>37143</v>
      </c>
      <c r="AI37" s="33" t="s">
        <v>63</v>
      </c>
      <c r="AJ37" s="33" t="s">
        <v>71</v>
      </c>
      <c r="AK37" s="37">
        <v>450.98</v>
      </c>
      <c r="AL37" s="37">
        <v>108.58</v>
      </c>
      <c r="AM37" s="37">
        <f t="shared" si="5"/>
        <v>224.76059999999998</v>
      </c>
      <c r="AN37" s="37">
        <v>0</v>
      </c>
      <c r="AO37" s="37">
        <v>0</v>
      </c>
      <c r="AP37" s="37">
        <v>0</v>
      </c>
      <c r="AQ37" s="37">
        <v>0</v>
      </c>
      <c r="AR37" s="37">
        <v>275</v>
      </c>
      <c r="AS37" s="37">
        <v>90</v>
      </c>
      <c r="AT37" s="37">
        <f t="shared" si="6"/>
        <v>186.29999999999998</v>
      </c>
      <c r="AU37" s="47">
        <v>0</v>
      </c>
      <c r="AV37" s="47">
        <v>0</v>
      </c>
      <c r="AW37" s="37">
        <v>0</v>
      </c>
      <c r="AX37" s="37">
        <v>0</v>
      </c>
      <c r="AY37" s="30"/>
      <c r="AZ37" s="30"/>
      <c r="BA37" s="30"/>
      <c r="BB37" s="30"/>
    </row>
    <row r="38" spans="1:54" x14ac:dyDescent="0.25">
      <c r="A38" s="33" t="s">
        <v>61</v>
      </c>
      <c r="B38" s="33" t="s">
        <v>76</v>
      </c>
      <c r="C38" s="34">
        <v>45491</v>
      </c>
      <c r="D38" s="33">
        <v>410089</v>
      </c>
      <c r="E38" s="34" t="s">
        <v>63</v>
      </c>
      <c r="F38" s="33" t="s">
        <v>64</v>
      </c>
      <c r="G38" s="35">
        <v>2.2000000000000002</v>
      </c>
      <c r="H38" s="33">
        <v>2000</v>
      </c>
      <c r="I38" s="33">
        <f t="shared" si="4"/>
        <v>4400</v>
      </c>
      <c r="J38" s="48">
        <f>WasteShipmentData[[#This Row],[Standardized Volume in lbs]]/2.2</f>
        <v>1999.9999999999998</v>
      </c>
      <c r="K38" s="48">
        <f t="shared" ref="K38:K45" si="7">8*2000</f>
        <v>16000</v>
      </c>
      <c r="L38" s="33" t="s">
        <v>65</v>
      </c>
      <c r="M38" s="33" t="s">
        <v>63</v>
      </c>
      <c r="N38" s="33" t="s">
        <v>66</v>
      </c>
      <c r="O38" s="33" t="s">
        <v>63</v>
      </c>
      <c r="P38" s="33" t="s">
        <v>63</v>
      </c>
      <c r="Q38" s="33" t="s">
        <v>63</v>
      </c>
      <c r="R38" s="33" t="s">
        <v>63</v>
      </c>
      <c r="S38" s="33" t="s">
        <v>77</v>
      </c>
      <c r="T38" s="33" t="s">
        <v>78</v>
      </c>
      <c r="U38" s="33" t="s">
        <v>63</v>
      </c>
      <c r="V38" s="33" t="s">
        <v>69</v>
      </c>
      <c r="W38" s="33" t="s">
        <v>70</v>
      </c>
      <c r="X38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38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38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38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38" s="33" t="s">
        <v>71</v>
      </c>
      <c r="AC38" s="33" t="s">
        <v>72</v>
      </c>
      <c r="AD38" s="33">
        <v>12.3</v>
      </c>
      <c r="AE38" s="33" t="s">
        <v>73</v>
      </c>
      <c r="AF38" s="38" t="s">
        <v>74</v>
      </c>
      <c r="AG38" s="38" t="s">
        <v>75</v>
      </c>
      <c r="AH38" s="33">
        <v>37143</v>
      </c>
      <c r="AI38" s="33" t="s">
        <v>63</v>
      </c>
      <c r="AJ38" s="33" t="s">
        <v>71</v>
      </c>
      <c r="AK38" s="37">
        <v>450.98</v>
      </c>
      <c r="AL38" s="37">
        <v>108.58</v>
      </c>
      <c r="AM38" s="37">
        <f t="shared" si="5"/>
        <v>238.876</v>
      </c>
      <c r="AN38" s="37">
        <v>0</v>
      </c>
      <c r="AO38" s="37">
        <v>0</v>
      </c>
      <c r="AP38" s="37">
        <v>0</v>
      </c>
      <c r="AQ38" s="37">
        <v>0</v>
      </c>
      <c r="AR38" s="37">
        <v>275</v>
      </c>
      <c r="AS38" s="37">
        <v>90</v>
      </c>
      <c r="AT38" s="37">
        <f t="shared" si="6"/>
        <v>198.00000000000003</v>
      </c>
      <c r="AU38" s="47">
        <v>0</v>
      </c>
      <c r="AV38" s="47">
        <v>0</v>
      </c>
      <c r="AW38" s="37">
        <v>0</v>
      </c>
      <c r="AX38" s="37">
        <v>0</v>
      </c>
      <c r="AY38" s="30"/>
      <c r="AZ38" s="30"/>
      <c r="BA38" s="30"/>
      <c r="BB38" s="30"/>
    </row>
    <row r="39" spans="1:54" x14ac:dyDescent="0.25">
      <c r="A39" s="33" t="s">
        <v>61</v>
      </c>
      <c r="B39" s="33" t="s">
        <v>62</v>
      </c>
      <c r="C39" s="34">
        <v>45491</v>
      </c>
      <c r="D39" s="33">
        <v>410090</v>
      </c>
      <c r="E39" s="34" t="s">
        <v>63</v>
      </c>
      <c r="F39" s="33" t="s">
        <v>64</v>
      </c>
      <c r="G39" s="35">
        <v>3.37</v>
      </c>
      <c r="H39" s="33">
        <v>2000</v>
      </c>
      <c r="I39" s="33">
        <f t="shared" si="4"/>
        <v>6740</v>
      </c>
      <c r="J39" s="48">
        <f>WasteShipmentData[[#This Row],[Standardized Volume in lbs]]/2.2</f>
        <v>3063.6363636363635</v>
      </c>
      <c r="K39" s="48">
        <f t="shared" si="7"/>
        <v>16000</v>
      </c>
      <c r="L39" s="33" t="s">
        <v>65</v>
      </c>
      <c r="M39" s="33" t="s">
        <v>63</v>
      </c>
      <c r="N39" s="33" t="s">
        <v>66</v>
      </c>
      <c r="O39" s="33" t="s">
        <v>63</v>
      </c>
      <c r="P39" s="33" t="s">
        <v>63</v>
      </c>
      <c r="Q39" s="33" t="s">
        <v>63</v>
      </c>
      <c r="R39" s="33" t="s">
        <v>63</v>
      </c>
      <c r="S39" s="33" t="s">
        <v>77</v>
      </c>
      <c r="T39" s="33" t="s">
        <v>78</v>
      </c>
      <c r="U39" s="33" t="s">
        <v>63</v>
      </c>
      <c r="V39" s="33" t="s">
        <v>69</v>
      </c>
      <c r="W39" s="33" t="s">
        <v>70</v>
      </c>
      <c r="X39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39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39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39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39" s="33" t="s">
        <v>71</v>
      </c>
      <c r="AC39" s="33" t="s">
        <v>72</v>
      </c>
      <c r="AD39" s="33">
        <v>12.3</v>
      </c>
      <c r="AE39" s="33" t="s">
        <v>73</v>
      </c>
      <c r="AF39" s="38" t="s">
        <v>74</v>
      </c>
      <c r="AG39" s="38" t="s">
        <v>75</v>
      </c>
      <c r="AH39" s="33">
        <v>37143</v>
      </c>
      <c r="AI39" s="33" t="s">
        <v>63</v>
      </c>
      <c r="AJ39" s="33" t="s">
        <v>71</v>
      </c>
      <c r="AK39" s="37">
        <v>450.98</v>
      </c>
      <c r="AL39" s="37">
        <v>108.58</v>
      </c>
      <c r="AM39" s="37">
        <f t="shared" si="5"/>
        <v>365.91460000000001</v>
      </c>
      <c r="AN39" s="37">
        <v>0</v>
      </c>
      <c r="AO39" s="37">
        <v>0</v>
      </c>
      <c r="AP39" s="37">
        <v>0</v>
      </c>
      <c r="AQ39" s="37">
        <v>0</v>
      </c>
      <c r="AR39" s="37">
        <v>275</v>
      </c>
      <c r="AS39" s="37">
        <v>90</v>
      </c>
      <c r="AT39" s="37">
        <f t="shared" si="6"/>
        <v>303.3</v>
      </c>
      <c r="AU39" s="47">
        <v>0</v>
      </c>
      <c r="AV39" s="47">
        <v>0</v>
      </c>
      <c r="AW39" s="37">
        <v>0</v>
      </c>
      <c r="AX39" s="37">
        <v>0</v>
      </c>
      <c r="AY39" s="30"/>
      <c r="AZ39" s="30"/>
      <c r="BA39" s="30"/>
      <c r="BB39" s="30"/>
    </row>
    <row r="40" spans="1:54" x14ac:dyDescent="0.25">
      <c r="A40" s="33" t="s">
        <v>79</v>
      </c>
      <c r="B40" s="33" t="s">
        <v>80</v>
      </c>
      <c r="C40" s="39">
        <v>45492</v>
      </c>
      <c r="D40" s="33">
        <v>410091</v>
      </c>
      <c r="E40" s="34" t="s">
        <v>63</v>
      </c>
      <c r="F40" s="33" t="s">
        <v>64</v>
      </c>
      <c r="G40" s="33">
        <v>9.7799999999999994</v>
      </c>
      <c r="H40" s="33">
        <v>2000</v>
      </c>
      <c r="I40" s="33">
        <f t="shared" si="4"/>
        <v>19560</v>
      </c>
      <c r="J40" s="48">
        <f>WasteShipmentData[[#This Row],[Standardized Volume in lbs]]/2.2</f>
        <v>8890.9090909090901</v>
      </c>
      <c r="K40" s="48">
        <f t="shared" si="7"/>
        <v>16000</v>
      </c>
      <c r="L40" s="33" t="s">
        <v>65</v>
      </c>
      <c r="M40" s="33" t="s">
        <v>63</v>
      </c>
      <c r="N40" s="33" t="s">
        <v>66</v>
      </c>
      <c r="O40" s="33" t="s">
        <v>63</v>
      </c>
      <c r="P40" s="33" t="s">
        <v>63</v>
      </c>
      <c r="Q40" s="33" t="s">
        <v>63</v>
      </c>
      <c r="R40" s="33" t="s">
        <v>63</v>
      </c>
      <c r="S40" s="33" t="s">
        <v>67</v>
      </c>
      <c r="T40" s="33" t="s">
        <v>68</v>
      </c>
      <c r="U40" s="33" t="s">
        <v>63</v>
      </c>
      <c r="V40" s="33" t="s">
        <v>69</v>
      </c>
      <c r="W40" s="33" t="s">
        <v>70</v>
      </c>
      <c r="X40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40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40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40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40" s="33" t="s">
        <v>71</v>
      </c>
      <c r="AC40" s="33" t="s">
        <v>72</v>
      </c>
      <c r="AD40" s="33">
        <v>12.3</v>
      </c>
      <c r="AE40" s="33" t="s">
        <v>73</v>
      </c>
      <c r="AF40" s="38" t="s">
        <v>74</v>
      </c>
      <c r="AG40" s="38" t="s">
        <v>75</v>
      </c>
      <c r="AH40" s="33">
        <v>37143</v>
      </c>
      <c r="AI40" s="33" t="s">
        <v>63</v>
      </c>
      <c r="AJ40" s="33" t="s">
        <v>71</v>
      </c>
      <c r="AK40" s="37">
        <v>717.46</v>
      </c>
      <c r="AL40" s="37">
        <v>80.709999999999994</v>
      </c>
      <c r="AM40" s="37">
        <f t="shared" si="5"/>
        <v>789.34379999999987</v>
      </c>
      <c r="AN40" s="37">
        <v>0</v>
      </c>
      <c r="AO40" s="37">
        <v>0</v>
      </c>
      <c r="AP40" s="37">
        <v>0</v>
      </c>
      <c r="AQ40" s="37">
        <v>122.97</v>
      </c>
      <c r="AR40" s="37">
        <v>400</v>
      </c>
      <c r="AS40" s="37">
        <v>45</v>
      </c>
      <c r="AT40" s="37">
        <f t="shared" si="6"/>
        <v>440.09999999999997</v>
      </c>
      <c r="AU40" s="47">
        <v>0</v>
      </c>
      <c r="AV40" s="47">
        <v>0</v>
      </c>
      <c r="AW40" s="37">
        <v>0</v>
      </c>
      <c r="AX40" s="37">
        <v>75</v>
      </c>
      <c r="AY40" s="30"/>
      <c r="AZ40" s="30"/>
      <c r="BA40" s="30"/>
      <c r="BB40" s="30"/>
    </row>
    <row r="41" spans="1:54" x14ac:dyDescent="0.25">
      <c r="A41" s="33" t="s">
        <v>82</v>
      </c>
      <c r="B41" s="33" t="s">
        <v>76</v>
      </c>
      <c r="C41" s="34">
        <v>45492</v>
      </c>
      <c r="D41" s="33">
        <v>410092</v>
      </c>
      <c r="E41" s="34" t="s">
        <v>63</v>
      </c>
      <c r="F41" s="33" t="s">
        <v>64</v>
      </c>
      <c r="G41" s="35">
        <v>10.67</v>
      </c>
      <c r="H41" s="33">
        <v>2000</v>
      </c>
      <c r="I41" s="33">
        <f t="shared" si="4"/>
        <v>21340</v>
      </c>
      <c r="J41" s="48">
        <f>WasteShipmentData[[#This Row],[Standardized Volume in lbs]]/2.2</f>
        <v>9700</v>
      </c>
      <c r="K41" s="48">
        <f t="shared" si="7"/>
        <v>16000</v>
      </c>
      <c r="L41" s="33" t="s">
        <v>83</v>
      </c>
      <c r="M41" s="33" t="s">
        <v>63</v>
      </c>
      <c r="N41" s="33" t="s">
        <v>83</v>
      </c>
      <c r="O41" s="33" t="s">
        <v>63</v>
      </c>
      <c r="P41" s="33" t="s">
        <v>63</v>
      </c>
      <c r="Q41" s="33" t="s">
        <v>63</v>
      </c>
      <c r="R41" s="33" t="s">
        <v>63</v>
      </c>
      <c r="S41" s="33" t="s">
        <v>84</v>
      </c>
      <c r="T41" s="33" t="s">
        <v>68</v>
      </c>
      <c r="U41" s="33" t="s">
        <v>63</v>
      </c>
      <c r="V41" s="33" t="s">
        <v>69</v>
      </c>
      <c r="W41" s="33" t="s">
        <v>70</v>
      </c>
      <c r="X41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41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41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41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41" s="33" t="s">
        <v>85</v>
      </c>
      <c r="AC41" s="33" t="s">
        <v>86</v>
      </c>
      <c r="AD41" s="33">
        <v>281.5</v>
      </c>
      <c r="AE41" s="33" t="s">
        <v>87</v>
      </c>
      <c r="AF41" s="38" t="s">
        <v>88</v>
      </c>
      <c r="AG41" s="38" t="s">
        <v>75</v>
      </c>
      <c r="AH41" s="33">
        <v>37660</v>
      </c>
      <c r="AI41" s="33" t="s">
        <v>63</v>
      </c>
      <c r="AJ41" s="33" t="s">
        <v>89</v>
      </c>
      <c r="AK41" s="37">
        <v>0</v>
      </c>
      <c r="AL41" s="37">
        <v>7.5</v>
      </c>
      <c r="AM41" s="37">
        <f t="shared" si="5"/>
        <v>80.025000000000006</v>
      </c>
      <c r="AN41" s="37">
        <v>0</v>
      </c>
      <c r="AO41" s="37">
        <v>0</v>
      </c>
      <c r="AP41" s="37">
        <v>0</v>
      </c>
      <c r="AQ41" s="37">
        <v>0</v>
      </c>
      <c r="AR41" s="37">
        <v>0</v>
      </c>
      <c r="AS41" s="37"/>
      <c r="AT41" s="37">
        <f t="shared" si="6"/>
        <v>0</v>
      </c>
      <c r="AU41" s="47">
        <v>0</v>
      </c>
      <c r="AV41" s="47">
        <v>0</v>
      </c>
      <c r="AW41" s="37">
        <f>G41*-155</f>
        <v>-1653.85</v>
      </c>
      <c r="AX41" s="37">
        <v>0</v>
      </c>
      <c r="AY41" s="30"/>
      <c r="AZ41" s="30"/>
      <c r="BA41" s="30"/>
      <c r="BB41" s="30"/>
    </row>
    <row r="42" spans="1:54" x14ac:dyDescent="0.25">
      <c r="A42" s="33" t="s">
        <v>79</v>
      </c>
      <c r="B42" s="33" t="s">
        <v>80</v>
      </c>
      <c r="C42" s="39">
        <v>45495</v>
      </c>
      <c r="D42" s="33">
        <v>410095</v>
      </c>
      <c r="E42" s="34" t="s">
        <v>63</v>
      </c>
      <c r="F42" s="33" t="s">
        <v>64</v>
      </c>
      <c r="G42" s="33">
        <v>14</v>
      </c>
      <c r="H42" s="33">
        <v>2000</v>
      </c>
      <c r="I42" s="33">
        <f t="shared" si="4"/>
        <v>28000</v>
      </c>
      <c r="J42" s="48">
        <f>WasteShipmentData[[#This Row],[Standardized Volume in lbs]]/2.2</f>
        <v>12727.272727272726</v>
      </c>
      <c r="K42" s="48">
        <f t="shared" si="7"/>
        <v>16000</v>
      </c>
      <c r="L42" s="33" t="s">
        <v>65</v>
      </c>
      <c r="M42" s="33" t="s">
        <v>63</v>
      </c>
      <c r="N42" s="33" t="s">
        <v>66</v>
      </c>
      <c r="O42" s="33" t="s">
        <v>63</v>
      </c>
      <c r="P42" s="33" t="s">
        <v>63</v>
      </c>
      <c r="Q42" s="33" t="s">
        <v>63</v>
      </c>
      <c r="R42" s="33" t="s">
        <v>63</v>
      </c>
      <c r="S42" s="33" t="s">
        <v>67</v>
      </c>
      <c r="T42" s="33" t="s">
        <v>68</v>
      </c>
      <c r="U42" s="33" t="s">
        <v>63</v>
      </c>
      <c r="V42" s="33" t="s">
        <v>69</v>
      </c>
      <c r="W42" s="33" t="s">
        <v>70</v>
      </c>
      <c r="X42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42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42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42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42" s="33" t="s">
        <v>71</v>
      </c>
      <c r="AC42" s="33" t="s">
        <v>72</v>
      </c>
      <c r="AD42" s="33">
        <v>12.3</v>
      </c>
      <c r="AE42" s="33" t="s">
        <v>73</v>
      </c>
      <c r="AF42" s="38" t="s">
        <v>74</v>
      </c>
      <c r="AG42" s="38" t="s">
        <v>75</v>
      </c>
      <c r="AH42" s="33">
        <v>37143</v>
      </c>
      <c r="AI42" s="33" t="s">
        <v>63</v>
      </c>
      <c r="AJ42" s="33" t="s">
        <v>71</v>
      </c>
      <c r="AK42" s="37">
        <v>717.46</v>
      </c>
      <c r="AL42" s="37">
        <v>80.709999999999994</v>
      </c>
      <c r="AM42" s="37">
        <f t="shared" si="5"/>
        <v>1129.9399999999998</v>
      </c>
      <c r="AN42" s="37">
        <v>0</v>
      </c>
      <c r="AO42" s="37">
        <v>0</v>
      </c>
      <c r="AP42" s="37">
        <v>0</v>
      </c>
      <c r="AQ42" s="37">
        <v>122.97</v>
      </c>
      <c r="AR42" s="37">
        <v>400</v>
      </c>
      <c r="AS42" s="37">
        <v>45</v>
      </c>
      <c r="AT42" s="37">
        <f t="shared" si="6"/>
        <v>630</v>
      </c>
      <c r="AU42" s="47">
        <v>0</v>
      </c>
      <c r="AV42" s="47">
        <v>0</v>
      </c>
      <c r="AW42" s="37">
        <v>0</v>
      </c>
      <c r="AX42" s="37">
        <v>75</v>
      </c>
      <c r="AY42" s="30"/>
      <c r="AZ42" s="30"/>
      <c r="BA42" s="30"/>
      <c r="BB42" s="30"/>
    </row>
    <row r="43" spans="1:54" x14ac:dyDescent="0.25">
      <c r="A43" s="33" t="s">
        <v>61</v>
      </c>
      <c r="B43" s="33" t="s">
        <v>62</v>
      </c>
      <c r="C43" s="34">
        <v>45495</v>
      </c>
      <c r="D43" s="33">
        <v>410093</v>
      </c>
      <c r="E43" s="34" t="s">
        <v>63</v>
      </c>
      <c r="F43" s="33" t="s">
        <v>64</v>
      </c>
      <c r="G43" s="35">
        <v>3.23</v>
      </c>
      <c r="H43" s="33">
        <v>2000</v>
      </c>
      <c r="I43" s="33">
        <f t="shared" si="4"/>
        <v>6460</v>
      </c>
      <c r="J43" s="48">
        <f>WasteShipmentData[[#This Row],[Standardized Volume in lbs]]/2.2</f>
        <v>2936.363636363636</v>
      </c>
      <c r="K43" s="48">
        <f t="shared" si="7"/>
        <v>16000</v>
      </c>
      <c r="L43" s="33" t="s">
        <v>65</v>
      </c>
      <c r="M43" s="33" t="s">
        <v>63</v>
      </c>
      <c r="N43" s="33" t="s">
        <v>66</v>
      </c>
      <c r="O43" s="33" t="s">
        <v>63</v>
      </c>
      <c r="P43" s="33" t="s">
        <v>63</v>
      </c>
      <c r="Q43" s="33" t="s">
        <v>63</v>
      </c>
      <c r="R43" s="33" t="s">
        <v>63</v>
      </c>
      <c r="S43" s="33" t="s">
        <v>77</v>
      </c>
      <c r="T43" s="33" t="s">
        <v>78</v>
      </c>
      <c r="U43" s="33" t="s">
        <v>63</v>
      </c>
      <c r="V43" s="33" t="s">
        <v>69</v>
      </c>
      <c r="W43" s="33" t="s">
        <v>70</v>
      </c>
      <c r="X43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43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43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43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43" s="33" t="s">
        <v>71</v>
      </c>
      <c r="AC43" s="33" t="s">
        <v>72</v>
      </c>
      <c r="AD43" s="33">
        <v>12.3</v>
      </c>
      <c r="AE43" s="33" t="s">
        <v>73</v>
      </c>
      <c r="AF43" s="38" t="s">
        <v>74</v>
      </c>
      <c r="AG43" s="38" t="s">
        <v>75</v>
      </c>
      <c r="AH43" s="33">
        <v>37143</v>
      </c>
      <c r="AI43" s="33" t="s">
        <v>63</v>
      </c>
      <c r="AJ43" s="33" t="s">
        <v>71</v>
      </c>
      <c r="AK43" s="37">
        <v>450.98</v>
      </c>
      <c r="AL43" s="37">
        <v>108.58</v>
      </c>
      <c r="AM43" s="37">
        <f t="shared" si="5"/>
        <v>350.71339999999998</v>
      </c>
      <c r="AN43" s="37">
        <v>0</v>
      </c>
      <c r="AO43" s="37">
        <v>0</v>
      </c>
      <c r="AP43" s="37">
        <v>0</v>
      </c>
      <c r="AQ43" s="37">
        <v>0</v>
      </c>
      <c r="AR43" s="37">
        <v>275</v>
      </c>
      <c r="AS43" s="37">
        <v>90</v>
      </c>
      <c r="AT43" s="37">
        <f t="shared" si="6"/>
        <v>290.7</v>
      </c>
      <c r="AU43" s="47">
        <v>0</v>
      </c>
      <c r="AV43" s="47">
        <v>0</v>
      </c>
      <c r="AW43" s="37">
        <v>0</v>
      </c>
      <c r="AX43" s="37">
        <v>0</v>
      </c>
      <c r="AY43" s="30"/>
      <c r="AZ43" s="30"/>
      <c r="BA43" s="30"/>
      <c r="BB43" s="30"/>
    </row>
    <row r="44" spans="1:54" x14ac:dyDescent="0.25">
      <c r="A44" s="33" t="s">
        <v>61</v>
      </c>
      <c r="B44" s="33" t="s">
        <v>62</v>
      </c>
      <c r="C44" s="34">
        <v>45495</v>
      </c>
      <c r="D44" s="33">
        <v>410094</v>
      </c>
      <c r="E44" s="34" t="s">
        <v>63</v>
      </c>
      <c r="F44" s="33" t="s">
        <v>64</v>
      </c>
      <c r="G44" s="35">
        <v>2.35</v>
      </c>
      <c r="H44" s="33">
        <v>2000</v>
      </c>
      <c r="I44" s="33">
        <f t="shared" si="4"/>
        <v>4700</v>
      </c>
      <c r="J44" s="48">
        <f>WasteShipmentData[[#This Row],[Standardized Volume in lbs]]/2.2</f>
        <v>2136.363636363636</v>
      </c>
      <c r="K44" s="48">
        <f t="shared" si="7"/>
        <v>16000</v>
      </c>
      <c r="L44" s="33" t="s">
        <v>65</v>
      </c>
      <c r="M44" s="33" t="s">
        <v>63</v>
      </c>
      <c r="N44" s="33" t="s">
        <v>66</v>
      </c>
      <c r="O44" s="33" t="s">
        <v>63</v>
      </c>
      <c r="P44" s="33" t="s">
        <v>63</v>
      </c>
      <c r="Q44" s="33" t="s">
        <v>63</v>
      </c>
      <c r="R44" s="33" t="s">
        <v>63</v>
      </c>
      <c r="S44" s="33" t="s">
        <v>77</v>
      </c>
      <c r="T44" s="33" t="s">
        <v>78</v>
      </c>
      <c r="U44" s="33" t="s">
        <v>63</v>
      </c>
      <c r="V44" s="33" t="s">
        <v>69</v>
      </c>
      <c r="W44" s="33" t="s">
        <v>70</v>
      </c>
      <c r="X44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44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44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44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44" s="33" t="s">
        <v>71</v>
      </c>
      <c r="AC44" s="33" t="s">
        <v>72</v>
      </c>
      <c r="AD44" s="33">
        <v>12.3</v>
      </c>
      <c r="AE44" s="33" t="s">
        <v>73</v>
      </c>
      <c r="AF44" s="38" t="s">
        <v>74</v>
      </c>
      <c r="AG44" s="38" t="s">
        <v>75</v>
      </c>
      <c r="AH44" s="33">
        <v>37143</v>
      </c>
      <c r="AI44" s="33" t="s">
        <v>63</v>
      </c>
      <c r="AJ44" s="33" t="s">
        <v>71</v>
      </c>
      <c r="AK44" s="37">
        <v>450.98</v>
      </c>
      <c r="AL44" s="37">
        <v>108.58</v>
      </c>
      <c r="AM44" s="37">
        <f t="shared" si="5"/>
        <v>255.16300000000001</v>
      </c>
      <c r="AN44" s="37">
        <v>0</v>
      </c>
      <c r="AO44" s="37">
        <v>0</v>
      </c>
      <c r="AP44" s="37">
        <v>0</v>
      </c>
      <c r="AQ44" s="37">
        <v>0</v>
      </c>
      <c r="AR44" s="37">
        <v>275</v>
      </c>
      <c r="AS44" s="37">
        <v>90</v>
      </c>
      <c r="AT44" s="37">
        <f t="shared" si="6"/>
        <v>211.5</v>
      </c>
      <c r="AU44" s="47">
        <v>0</v>
      </c>
      <c r="AV44" s="47">
        <v>0</v>
      </c>
      <c r="AW44" s="37">
        <v>0</v>
      </c>
      <c r="AX44" s="37">
        <v>0</v>
      </c>
      <c r="AY44" s="30"/>
      <c r="AZ44" s="30"/>
      <c r="BA44" s="30"/>
      <c r="BB44" s="30"/>
    </row>
    <row r="45" spans="1:54" x14ac:dyDescent="0.25">
      <c r="A45" s="33" t="s">
        <v>79</v>
      </c>
      <c r="B45" s="33" t="s">
        <v>80</v>
      </c>
      <c r="C45" s="39">
        <v>45496</v>
      </c>
      <c r="D45" s="33">
        <v>410096</v>
      </c>
      <c r="E45" s="34" t="s">
        <v>63</v>
      </c>
      <c r="F45" s="33" t="s">
        <v>64</v>
      </c>
      <c r="G45" s="33">
        <v>10.57</v>
      </c>
      <c r="H45" s="33">
        <v>2000</v>
      </c>
      <c r="I45" s="33">
        <f t="shared" si="4"/>
        <v>21140</v>
      </c>
      <c r="J45" s="48">
        <f>WasteShipmentData[[#This Row],[Standardized Volume in lbs]]/2.2</f>
        <v>9609.0909090909081</v>
      </c>
      <c r="K45" s="48">
        <f t="shared" si="7"/>
        <v>16000</v>
      </c>
      <c r="L45" s="33" t="s">
        <v>65</v>
      </c>
      <c r="M45" s="33" t="s">
        <v>63</v>
      </c>
      <c r="N45" s="33" t="s">
        <v>66</v>
      </c>
      <c r="O45" s="33" t="s">
        <v>63</v>
      </c>
      <c r="P45" s="33" t="s">
        <v>63</v>
      </c>
      <c r="Q45" s="33" t="s">
        <v>63</v>
      </c>
      <c r="R45" s="33" t="s">
        <v>63</v>
      </c>
      <c r="S45" s="33" t="s">
        <v>67</v>
      </c>
      <c r="T45" s="33" t="s">
        <v>68</v>
      </c>
      <c r="U45" s="33" t="s">
        <v>63</v>
      </c>
      <c r="V45" s="33" t="s">
        <v>69</v>
      </c>
      <c r="W45" s="33" t="s">
        <v>70</v>
      </c>
      <c r="X45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45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45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45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45" s="33" t="s">
        <v>71</v>
      </c>
      <c r="AC45" s="33" t="s">
        <v>72</v>
      </c>
      <c r="AD45" s="33">
        <v>12.3</v>
      </c>
      <c r="AE45" s="33" t="s">
        <v>73</v>
      </c>
      <c r="AF45" s="38" t="s">
        <v>74</v>
      </c>
      <c r="AG45" s="38" t="s">
        <v>75</v>
      </c>
      <c r="AH45" s="33">
        <v>37143</v>
      </c>
      <c r="AI45" s="33" t="s">
        <v>63</v>
      </c>
      <c r="AJ45" s="33" t="s">
        <v>71</v>
      </c>
      <c r="AK45" s="37">
        <v>717.46</v>
      </c>
      <c r="AL45" s="37">
        <v>80.709999999999994</v>
      </c>
      <c r="AM45" s="37">
        <f t="shared" si="5"/>
        <v>853.10469999999998</v>
      </c>
      <c r="AN45" s="37">
        <v>0</v>
      </c>
      <c r="AO45" s="37">
        <v>0</v>
      </c>
      <c r="AP45" s="37">
        <v>0</v>
      </c>
      <c r="AQ45" s="37">
        <v>122.97</v>
      </c>
      <c r="AR45" s="37">
        <v>400</v>
      </c>
      <c r="AS45" s="37">
        <v>45</v>
      </c>
      <c r="AT45" s="37">
        <f t="shared" si="6"/>
        <v>475.65000000000003</v>
      </c>
      <c r="AU45" s="47">
        <v>0</v>
      </c>
      <c r="AV45" s="47">
        <v>0</v>
      </c>
      <c r="AW45" s="37">
        <v>0</v>
      </c>
      <c r="AX45" s="37">
        <v>75</v>
      </c>
      <c r="AY45" s="30"/>
      <c r="AZ45" s="30"/>
      <c r="BA45" s="30"/>
      <c r="BB45" s="30"/>
    </row>
    <row r="46" spans="1:54" x14ac:dyDescent="0.25">
      <c r="A46" s="33" t="s">
        <v>61</v>
      </c>
      <c r="B46" s="33" t="s">
        <v>62</v>
      </c>
      <c r="C46" s="34">
        <v>45496</v>
      </c>
      <c r="D46" s="33">
        <v>410097</v>
      </c>
      <c r="E46" s="34" t="s">
        <v>63</v>
      </c>
      <c r="F46" s="33" t="s">
        <v>64</v>
      </c>
      <c r="G46" s="35">
        <v>1.1000000000000001</v>
      </c>
      <c r="H46" s="33">
        <v>2000</v>
      </c>
      <c r="I46" s="33">
        <f t="shared" si="4"/>
        <v>2200</v>
      </c>
      <c r="J46" s="48">
        <f>WasteShipmentData[[#This Row],[Standardized Volume in lbs]]/2.2</f>
        <v>999.99999999999989</v>
      </c>
      <c r="K46" s="48">
        <v>2500</v>
      </c>
      <c r="L46" s="33" t="s">
        <v>65</v>
      </c>
      <c r="M46" s="33" t="s">
        <v>63</v>
      </c>
      <c r="N46" s="33" t="s">
        <v>66</v>
      </c>
      <c r="O46" s="33" t="s">
        <v>63</v>
      </c>
      <c r="P46" s="33" t="s">
        <v>63</v>
      </c>
      <c r="Q46" s="33" t="s">
        <v>63</v>
      </c>
      <c r="R46" s="33" t="s">
        <v>63</v>
      </c>
      <c r="S46" s="33" t="s">
        <v>67</v>
      </c>
      <c r="T46" s="33" t="s">
        <v>68</v>
      </c>
      <c r="U46" s="33" t="s">
        <v>63</v>
      </c>
      <c r="V46" s="33" t="s">
        <v>69</v>
      </c>
      <c r="W46" s="33" t="s">
        <v>70</v>
      </c>
      <c r="X46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46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46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46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46" s="33" t="s">
        <v>71</v>
      </c>
      <c r="AC46" s="33" t="s">
        <v>72</v>
      </c>
      <c r="AD46" s="33">
        <v>12.3</v>
      </c>
      <c r="AE46" s="33" t="s">
        <v>73</v>
      </c>
      <c r="AF46" s="38" t="s">
        <v>74</v>
      </c>
      <c r="AG46" s="38" t="s">
        <v>75</v>
      </c>
      <c r="AH46" s="33">
        <v>37143</v>
      </c>
      <c r="AI46" s="33" t="s">
        <v>63</v>
      </c>
      <c r="AJ46" s="33" t="s">
        <v>71</v>
      </c>
      <c r="AK46" s="37">
        <v>450.98</v>
      </c>
      <c r="AL46" s="37">
        <v>108.58</v>
      </c>
      <c r="AM46" s="37">
        <f t="shared" si="5"/>
        <v>119.438</v>
      </c>
      <c r="AN46" s="37">
        <v>0</v>
      </c>
      <c r="AO46" s="37">
        <v>0</v>
      </c>
      <c r="AP46" s="37">
        <v>0</v>
      </c>
      <c r="AQ46" s="37">
        <v>0</v>
      </c>
      <c r="AR46" s="37">
        <v>275</v>
      </c>
      <c r="AS46" s="37">
        <v>90</v>
      </c>
      <c r="AT46" s="37">
        <f t="shared" si="6"/>
        <v>99.000000000000014</v>
      </c>
      <c r="AU46" s="47">
        <v>0</v>
      </c>
      <c r="AV46" s="47">
        <v>0</v>
      </c>
      <c r="AW46" s="37">
        <v>0</v>
      </c>
      <c r="AX46" s="37">
        <v>0</v>
      </c>
      <c r="AY46" s="30"/>
      <c r="AZ46" s="30"/>
      <c r="BA46" s="30"/>
      <c r="BB46" s="30"/>
    </row>
    <row r="47" spans="1:54" x14ac:dyDescent="0.25">
      <c r="A47" s="33" t="s">
        <v>61</v>
      </c>
      <c r="B47" s="33" t="s">
        <v>62</v>
      </c>
      <c r="C47" s="34">
        <v>45497</v>
      </c>
      <c r="D47" s="33">
        <v>410098</v>
      </c>
      <c r="E47" s="34" t="s">
        <v>63</v>
      </c>
      <c r="F47" s="33" t="s">
        <v>64</v>
      </c>
      <c r="G47" s="35">
        <v>1.3</v>
      </c>
      <c r="H47" s="33">
        <v>2000</v>
      </c>
      <c r="I47" s="33">
        <f t="shared" si="4"/>
        <v>2600</v>
      </c>
      <c r="J47" s="48">
        <f>WasteShipmentData[[#This Row],[Standardized Volume in lbs]]/2.2</f>
        <v>1181.8181818181818</v>
      </c>
      <c r="K47" s="48">
        <v>2500</v>
      </c>
      <c r="L47" s="33" t="s">
        <v>65</v>
      </c>
      <c r="M47" s="33" t="s">
        <v>63</v>
      </c>
      <c r="N47" s="33" t="s">
        <v>66</v>
      </c>
      <c r="O47" s="33" t="s">
        <v>63</v>
      </c>
      <c r="P47" s="33" t="s">
        <v>63</v>
      </c>
      <c r="Q47" s="33" t="s">
        <v>63</v>
      </c>
      <c r="R47" s="33" t="s">
        <v>63</v>
      </c>
      <c r="S47" s="33" t="s">
        <v>67</v>
      </c>
      <c r="T47" s="33" t="s">
        <v>68</v>
      </c>
      <c r="U47" s="33" t="s">
        <v>63</v>
      </c>
      <c r="V47" s="33" t="s">
        <v>69</v>
      </c>
      <c r="W47" s="33" t="s">
        <v>70</v>
      </c>
      <c r="X47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47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47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47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47" s="33" t="s">
        <v>71</v>
      </c>
      <c r="AC47" s="33" t="s">
        <v>72</v>
      </c>
      <c r="AD47" s="33">
        <v>12.3</v>
      </c>
      <c r="AE47" s="33" t="s">
        <v>73</v>
      </c>
      <c r="AF47" s="38" t="s">
        <v>74</v>
      </c>
      <c r="AG47" s="38" t="s">
        <v>75</v>
      </c>
      <c r="AH47" s="33">
        <v>37143</v>
      </c>
      <c r="AI47" s="33" t="s">
        <v>63</v>
      </c>
      <c r="AJ47" s="33" t="s">
        <v>71</v>
      </c>
      <c r="AK47" s="37">
        <v>450.98</v>
      </c>
      <c r="AL47" s="37">
        <v>108.58</v>
      </c>
      <c r="AM47" s="37">
        <f t="shared" si="5"/>
        <v>141.154</v>
      </c>
      <c r="AN47" s="37">
        <v>0</v>
      </c>
      <c r="AO47" s="37">
        <v>0</v>
      </c>
      <c r="AP47" s="37">
        <v>0</v>
      </c>
      <c r="AQ47" s="37">
        <v>0</v>
      </c>
      <c r="AR47" s="37">
        <v>275</v>
      </c>
      <c r="AS47" s="37">
        <v>90</v>
      </c>
      <c r="AT47" s="37">
        <f t="shared" si="6"/>
        <v>117</v>
      </c>
      <c r="AU47" s="47">
        <v>0</v>
      </c>
      <c r="AV47" s="47">
        <v>0</v>
      </c>
      <c r="AW47" s="37">
        <v>0</v>
      </c>
      <c r="AX47" s="37">
        <v>0</v>
      </c>
      <c r="AY47" s="30"/>
      <c r="AZ47" s="30"/>
      <c r="BA47" s="30"/>
      <c r="BB47" s="30"/>
    </row>
    <row r="48" spans="1:54" x14ac:dyDescent="0.25">
      <c r="A48" s="33" t="s">
        <v>61</v>
      </c>
      <c r="B48" s="33" t="s">
        <v>62</v>
      </c>
      <c r="C48" s="34">
        <v>45497</v>
      </c>
      <c r="D48" s="33">
        <v>410099</v>
      </c>
      <c r="E48" s="34" t="s">
        <v>63</v>
      </c>
      <c r="F48" s="33" t="s">
        <v>64</v>
      </c>
      <c r="G48" s="35">
        <v>0.75</v>
      </c>
      <c r="H48" s="33">
        <v>2000</v>
      </c>
      <c r="I48" s="33">
        <f t="shared" si="4"/>
        <v>1500</v>
      </c>
      <c r="J48" s="48">
        <f>WasteShipmentData[[#This Row],[Standardized Volume in lbs]]/2.2</f>
        <v>681.81818181818176</v>
      </c>
      <c r="K48" s="48">
        <v>2500</v>
      </c>
      <c r="L48" s="33" t="s">
        <v>65</v>
      </c>
      <c r="M48" s="33" t="s">
        <v>63</v>
      </c>
      <c r="N48" s="33" t="s">
        <v>66</v>
      </c>
      <c r="O48" s="33" t="s">
        <v>63</v>
      </c>
      <c r="P48" s="33" t="s">
        <v>63</v>
      </c>
      <c r="Q48" s="33" t="s">
        <v>63</v>
      </c>
      <c r="R48" s="33" t="s">
        <v>63</v>
      </c>
      <c r="S48" s="33" t="s">
        <v>67</v>
      </c>
      <c r="T48" s="33" t="s">
        <v>68</v>
      </c>
      <c r="U48" s="33" t="s">
        <v>63</v>
      </c>
      <c r="V48" s="33" t="s">
        <v>69</v>
      </c>
      <c r="W48" s="33" t="s">
        <v>70</v>
      </c>
      <c r="X48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48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48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48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48" s="33" t="s">
        <v>71</v>
      </c>
      <c r="AC48" s="33" t="s">
        <v>72</v>
      </c>
      <c r="AD48" s="33">
        <v>12.3</v>
      </c>
      <c r="AE48" s="33" t="s">
        <v>73</v>
      </c>
      <c r="AF48" s="38" t="s">
        <v>74</v>
      </c>
      <c r="AG48" s="38" t="s">
        <v>75</v>
      </c>
      <c r="AH48" s="33">
        <v>37143</v>
      </c>
      <c r="AI48" s="33" t="s">
        <v>63</v>
      </c>
      <c r="AJ48" s="33" t="s">
        <v>71</v>
      </c>
      <c r="AK48" s="37">
        <v>450.98</v>
      </c>
      <c r="AL48" s="37">
        <v>108.58</v>
      </c>
      <c r="AM48" s="37">
        <f t="shared" si="5"/>
        <v>81.435000000000002</v>
      </c>
      <c r="AN48" s="37">
        <v>0</v>
      </c>
      <c r="AO48" s="37">
        <v>0</v>
      </c>
      <c r="AP48" s="37">
        <v>0</v>
      </c>
      <c r="AQ48" s="37">
        <v>0</v>
      </c>
      <c r="AR48" s="37">
        <v>275</v>
      </c>
      <c r="AS48" s="37">
        <v>90</v>
      </c>
      <c r="AT48" s="37">
        <f t="shared" si="6"/>
        <v>67.5</v>
      </c>
      <c r="AU48" s="47">
        <v>0</v>
      </c>
      <c r="AV48" s="47">
        <v>0</v>
      </c>
      <c r="AW48" s="37">
        <v>0</v>
      </c>
      <c r="AX48" s="37">
        <v>0</v>
      </c>
      <c r="AY48" s="30"/>
      <c r="AZ48" s="30"/>
      <c r="BA48" s="30"/>
      <c r="BB48" s="30"/>
    </row>
    <row r="49" spans="1:54" x14ac:dyDescent="0.25">
      <c r="A49" s="33" t="s">
        <v>82</v>
      </c>
      <c r="B49" s="33" t="s">
        <v>76</v>
      </c>
      <c r="C49" s="34">
        <v>45497</v>
      </c>
      <c r="D49" s="33">
        <v>410100</v>
      </c>
      <c r="E49" s="34" t="s">
        <v>63</v>
      </c>
      <c r="F49" s="33" t="s">
        <v>64</v>
      </c>
      <c r="G49" s="35">
        <v>15.49</v>
      </c>
      <c r="H49" s="33">
        <v>2000</v>
      </c>
      <c r="I49" s="33">
        <f t="shared" si="4"/>
        <v>30980</v>
      </c>
      <c r="J49" s="48">
        <f>WasteShipmentData[[#This Row],[Standardized Volume in lbs]]/2.2</f>
        <v>14081.81818181818</v>
      </c>
      <c r="K49" s="48">
        <f>8*2000</f>
        <v>16000</v>
      </c>
      <c r="L49" s="33" t="s">
        <v>83</v>
      </c>
      <c r="M49" s="33" t="s">
        <v>63</v>
      </c>
      <c r="N49" s="33" t="s">
        <v>83</v>
      </c>
      <c r="O49" s="33" t="s">
        <v>63</v>
      </c>
      <c r="P49" s="33" t="s">
        <v>63</v>
      </c>
      <c r="Q49" s="33" t="s">
        <v>63</v>
      </c>
      <c r="R49" s="33" t="s">
        <v>63</v>
      </c>
      <c r="S49" s="33" t="s">
        <v>84</v>
      </c>
      <c r="T49" s="33" t="s">
        <v>68</v>
      </c>
      <c r="U49" s="33" t="s">
        <v>63</v>
      </c>
      <c r="V49" s="33" t="s">
        <v>69</v>
      </c>
      <c r="W49" s="33" t="s">
        <v>70</v>
      </c>
      <c r="X49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49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49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49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49" s="33" t="s">
        <v>85</v>
      </c>
      <c r="AC49" s="33" t="s">
        <v>86</v>
      </c>
      <c r="AD49" s="33">
        <v>281.5</v>
      </c>
      <c r="AE49" s="33" t="s">
        <v>87</v>
      </c>
      <c r="AF49" s="38" t="s">
        <v>88</v>
      </c>
      <c r="AG49" s="38" t="s">
        <v>75</v>
      </c>
      <c r="AH49" s="33">
        <v>37660</v>
      </c>
      <c r="AI49" s="33" t="s">
        <v>63</v>
      </c>
      <c r="AJ49" s="33" t="s">
        <v>89</v>
      </c>
      <c r="AK49" s="37">
        <v>0</v>
      </c>
      <c r="AL49" s="37">
        <v>7.5</v>
      </c>
      <c r="AM49" s="37">
        <f t="shared" si="5"/>
        <v>116.175</v>
      </c>
      <c r="AN49" s="37">
        <v>0</v>
      </c>
      <c r="AO49" s="37">
        <v>0</v>
      </c>
      <c r="AP49" s="37">
        <v>0</v>
      </c>
      <c r="AQ49" s="37">
        <v>0</v>
      </c>
      <c r="AR49" s="37">
        <v>0</v>
      </c>
      <c r="AS49" s="37"/>
      <c r="AT49" s="37">
        <f t="shared" si="6"/>
        <v>0</v>
      </c>
      <c r="AU49" s="47">
        <v>0</v>
      </c>
      <c r="AV49" s="47">
        <v>0</v>
      </c>
      <c r="AW49" s="37">
        <f>G49*-155</f>
        <v>-2400.9499999999998</v>
      </c>
      <c r="AX49" s="37">
        <v>0</v>
      </c>
      <c r="AY49" s="30"/>
      <c r="AZ49" s="30"/>
      <c r="BA49" s="30"/>
      <c r="BB49" s="30"/>
    </row>
    <row r="50" spans="1:54" x14ac:dyDescent="0.25">
      <c r="A50" s="33" t="s">
        <v>81</v>
      </c>
      <c r="B50" s="33" t="s">
        <v>80</v>
      </c>
      <c r="C50" s="39">
        <v>45498</v>
      </c>
      <c r="D50" s="33">
        <v>410103</v>
      </c>
      <c r="E50" s="34" t="s">
        <v>63</v>
      </c>
      <c r="F50" s="33" t="s">
        <v>64</v>
      </c>
      <c r="G50" s="33">
        <v>3.9</v>
      </c>
      <c r="H50" s="33">
        <v>2000</v>
      </c>
      <c r="I50" s="33">
        <f t="shared" si="4"/>
        <v>7800</v>
      </c>
      <c r="J50" s="48">
        <f>WasteShipmentData[[#This Row],[Standardized Volume in lbs]]/2.2</f>
        <v>3545.454545454545</v>
      </c>
      <c r="K50" s="48">
        <v>2000</v>
      </c>
      <c r="L50" s="33" t="s">
        <v>65</v>
      </c>
      <c r="M50" s="33" t="s">
        <v>63</v>
      </c>
      <c r="N50" s="33" t="s">
        <v>66</v>
      </c>
      <c r="O50" s="33" t="s">
        <v>63</v>
      </c>
      <c r="P50" s="33" t="s">
        <v>63</v>
      </c>
      <c r="Q50" s="33" t="s">
        <v>63</v>
      </c>
      <c r="R50" s="33" t="s">
        <v>63</v>
      </c>
      <c r="S50" s="33" t="s">
        <v>67</v>
      </c>
      <c r="T50" s="33" t="s">
        <v>68</v>
      </c>
      <c r="U50" s="33" t="s">
        <v>63</v>
      </c>
      <c r="V50" s="33" t="s">
        <v>69</v>
      </c>
      <c r="W50" s="33" t="s">
        <v>70</v>
      </c>
      <c r="X50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50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50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50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50" s="33" t="s">
        <v>71</v>
      </c>
      <c r="AC50" s="33" t="s">
        <v>72</v>
      </c>
      <c r="AD50" s="33">
        <v>12.3</v>
      </c>
      <c r="AE50" s="33" t="s">
        <v>73</v>
      </c>
      <c r="AF50" s="38" t="s">
        <v>74</v>
      </c>
      <c r="AG50" s="38" t="s">
        <v>75</v>
      </c>
      <c r="AH50" s="33">
        <v>37143</v>
      </c>
      <c r="AI50" s="33" t="s">
        <v>63</v>
      </c>
      <c r="AJ50" s="33" t="s">
        <v>71</v>
      </c>
      <c r="AK50" s="37">
        <v>717.46</v>
      </c>
      <c r="AL50" s="37">
        <v>80.709999999999994</v>
      </c>
      <c r="AM50" s="37">
        <f t="shared" si="5"/>
        <v>314.76899999999995</v>
      </c>
      <c r="AN50" s="37">
        <v>0</v>
      </c>
      <c r="AO50" s="37">
        <v>0</v>
      </c>
      <c r="AP50" s="37">
        <v>0</v>
      </c>
      <c r="AQ50" s="37">
        <v>122.97</v>
      </c>
      <c r="AR50" s="37">
        <v>400</v>
      </c>
      <c r="AS50" s="37">
        <v>45</v>
      </c>
      <c r="AT50" s="37">
        <f t="shared" si="6"/>
        <v>175.5</v>
      </c>
      <c r="AU50" s="47">
        <v>0</v>
      </c>
      <c r="AV50" s="47">
        <v>0</v>
      </c>
      <c r="AW50" s="37">
        <v>0</v>
      </c>
      <c r="AX50" s="37">
        <v>75</v>
      </c>
      <c r="AY50" s="30"/>
      <c r="AZ50" s="30"/>
      <c r="BA50" s="30"/>
      <c r="BB50" s="30"/>
    </row>
    <row r="51" spans="1:54" x14ac:dyDescent="0.25">
      <c r="A51" s="33" t="s">
        <v>61</v>
      </c>
      <c r="B51" s="33" t="s">
        <v>76</v>
      </c>
      <c r="C51" s="34">
        <v>45498</v>
      </c>
      <c r="D51" s="33">
        <v>410102</v>
      </c>
      <c r="E51" s="34" t="s">
        <v>63</v>
      </c>
      <c r="F51" s="33" t="s">
        <v>64</v>
      </c>
      <c r="G51" s="35">
        <v>3.14</v>
      </c>
      <c r="H51" s="33">
        <v>2000</v>
      </c>
      <c r="I51" s="33">
        <f t="shared" si="4"/>
        <v>6280</v>
      </c>
      <c r="J51" s="48">
        <f>WasteShipmentData[[#This Row],[Standardized Volume in lbs]]/2.2</f>
        <v>2854.5454545454545</v>
      </c>
      <c r="K51" s="48">
        <f>8*2000</f>
        <v>16000</v>
      </c>
      <c r="L51" s="33" t="s">
        <v>65</v>
      </c>
      <c r="M51" s="33" t="s">
        <v>63</v>
      </c>
      <c r="N51" s="33" t="s">
        <v>66</v>
      </c>
      <c r="O51" s="33" t="s">
        <v>63</v>
      </c>
      <c r="P51" s="33" t="s">
        <v>63</v>
      </c>
      <c r="Q51" s="33" t="s">
        <v>63</v>
      </c>
      <c r="R51" s="33" t="s">
        <v>63</v>
      </c>
      <c r="S51" s="33" t="s">
        <v>77</v>
      </c>
      <c r="T51" s="33" t="s">
        <v>78</v>
      </c>
      <c r="U51" s="33" t="s">
        <v>63</v>
      </c>
      <c r="V51" s="33" t="s">
        <v>69</v>
      </c>
      <c r="W51" s="33" t="s">
        <v>70</v>
      </c>
      <c r="X51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51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51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51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51" s="33" t="s">
        <v>71</v>
      </c>
      <c r="AC51" s="33" t="s">
        <v>72</v>
      </c>
      <c r="AD51" s="33">
        <v>12.3</v>
      </c>
      <c r="AE51" s="33" t="s">
        <v>73</v>
      </c>
      <c r="AF51" s="38" t="s">
        <v>74</v>
      </c>
      <c r="AG51" s="38" t="s">
        <v>75</v>
      </c>
      <c r="AH51" s="33">
        <v>37143</v>
      </c>
      <c r="AI51" s="33" t="s">
        <v>63</v>
      </c>
      <c r="AJ51" s="33" t="s">
        <v>71</v>
      </c>
      <c r="AK51" s="37">
        <v>450.98</v>
      </c>
      <c r="AL51" s="37">
        <v>108.58</v>
      </c>
      <c r="AM51" s="37">
        <f t="shared" si="5"/>
        <v>340.94119999999998</v>
      </c>
      <c r="AN51" s="37">
        <v>0</v>
      </c>
      <c r="AO51" s="37">
        <v>0</v>
      </c>
      <c r="AP51" s="37">
        <v>0</v>
      </c>
      <c r="AQ51" s="37">
        <v>0</v>
      </c>
      <c r="AR51" s="37">
        <v>275</v>
      </c>
      <c r="AS51" s="37">
        <v>90</v>
      </c>
      <c r="AT51" s="37">
        <f t="shared" si="6"/>
        <v>282.60000000000002</v>
      </c>
      <c r="AU51" s="47">
        <v>0</v>
      </c>
      <c r="AV51" s="47">
        <v>0</v>
      </c>
      <c r="AW51" s="37">
        <v>0</v>
      </c>
      <c r="AX51" s="37">
        <v>0</v>
      </c>
      <c r="AY51" s="30"/>
      <c r="AZ51" s="30"/>
      <c r="BA51" s="30"/>
      <c r="BB51" s="30"/>
    </row>
    <row r="52" spans="1:54" x14ac:dyDescent="0.25">
      <c r="A52" s="33" t="s">
        <v>61</v>
      </c>
      <c r="B52" s="33" t="s">
        <v>62</v>
      </c>
      <c r="C52" s="34">
        <v>45498</v>
      </c>
      <c r="D52" s="33">
        <v>410101</v>
      </c>
      <c r="E52" s="34" t="s">
        <v>63</v>
      </c>
      <c r="F52" s="33" t="s">
        <v>64</v>
      </c>
      <c r="G52" s="35">
        <v>1.29</v>
      </c>
      <c r="H52" s="33">
        <v>2000</v>
      </c>
      <c r="I52" s="33">
        <f t="shared" si="4"/>
        <v>2580</v>
      </c>
      <c r="J52" s="48">
        <f>WasteShipmentData[[#This Row],[Standardized Volume in lbs]]/2.2</f>
        <v>1172.7272727272725</v>
      </c>
      <c r="K52" s="48">
        <f>8*2000</f>
        <v>16000</v>
      </c>
      <c r="L52" s="33" t="s">
        <v>65</v>
      </c>
      <c r="M52" s="33" t="s">
        <v>63</v>
      </c>
      <c r="N52" s="33" t="s">
        <v>66</v>
      </c>
      <c r="O52" s="33" t="s">
        <v>63</v>
      </c>
      <c r="P52" s="33" t="s">
        <v>63</v>
      </c>
      <c r="Q52" s="33" t="s">
        <v>63</v>
      </c>
      <c r="R52" s="33" t="s">
        <v>63</v>
      </c>
      <c r="S52" s="33" t="s">
        <v>77</v>
      </c>
      <c r="T52" s="33" t="s">
        <v>78</v>
      </c>
      <c r="U52" s="33" t="s">
        <v>63</v>
      </c>
      <c r="V52" s="33" t="s">
        <v>69</v>
      </c>
      <c r="W52" s="33" t="s">
        <v>70</v>
      </c>
      <c r="X52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52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52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52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52" s="33" t="s">
        <v>71</v>
      </c>
      <c r="AC52" s="33" t="s">
        <v>72</v>
      </c>
      <c r="AD52" s="33">
        <v>12.3</v>
      </c>
      <c r="AE52" s="33" t="s">
        <v>73</v>
      </c>
      <c r="AF52" s="38" t="s">
        <v>74</v>
      </c>
      <c r="AG52" s="38" t="s">
        <v>75</v>
      </c>
      <c r="AH52" s="33">
        <v>37143</v>
      </c>
      <c r="AI52" s="33" t="s">
        <v>63</v>
      </c>
      <c r="AJ52" s="33" t="s">
        <v>71</v>
      </c>
      <c r="AK52" s="37">
        <v>450.98</v>
      </c>
      <c r="AL52" s="37">
        <v>108.58</v>
      </c>
      <c r="AM52" s="37">
        <f t="shared" si="5"/>
        <v>140.06819999999999</v>
      </c>
      <c r="AN52" s="37">
        <v>0</v>
      </c>
      <c r="AO52" s="37">
        <v>0</v>
      </c>
      <c r="AP52" s="37">
        <v>0</v>
      </c>
      <c r="AQ52" s="37">
        <v>0</v>
      </c>
      <c r="AR52" s="37">
        <v>275</v>
      </c>
      <c r="AS52" s="37">
        <v>90</v>
      </c>
      <c r="AT52" s="37">
        <f t="shared" si="6"/>
        <v>116.10000000000001</v>
      </c>
      <c r="AU52" s="47">
        <v>0</v>
      </c>
      <c r="AV52" s="47">
        <v>0</v>
      </c>
      <c r="AW52" s="37">
        <v>0</v>
      </c>
      <c r="AX52" s="37">
        <v>0</v>
      </c>
      <c r="AY52" s="30"/>
      <c r="AZ52" s="30"/>
      <c r="BA52" s="30"/>
      <c r="BB52" s="30"/>
    </row>
    <row r="53" spans="1:54" x14ac:dyDescent="0.25">
      <c r="A53" s="33" t="s">
        <v>81</v>
      </c>
      <c r="B53" s="33" t="s">
        <v>80</v>
      </c>
      <c r="C53" s="39">
        <v>45499</v>
      </c>
      <c r="D53" s="33">
        <v>410104</v>
      </c>
      <c r="E53" s="34" t="s">
        <v>63</v>
      </c>
      <c r="F53" s="33" t="s">
        <v>64</v>
      </c>
      <c r="G53" s="33">
        <v>7.29</v>
      </c>
      <c r="H53" s="33">
        <v>2000</v>
      </c>
      <c r="I53" s="33">
        <f t="shared" si="4"/>
        <v>14580</v>
      </c>
      <c r="J53" s="48">
        <f>WasteShipmentData[[#This Row],[Standardized Volume in lbs]]/2.2</f>
        <v>6627.272727272727</v>
      </c>
      <c r="K53" s="48">
        <v>2000</v>
      </c>
      <c r="L53" s="33" t="s">
        <v>65</v>
      </c>
      <c r="M53" s="33" t="s">
        <v>63</v>
      </c>
      <c r="N53" s="33" t="s">
        <v>66</v>
      </c>
      <c r="O53" s="33" t="s">
        <v>63</v>
      </c>
      <c r="P53" s="33" t="s">
        <v>63</v>
      </c>
      <c r="Q53" s="33" t="s">
        <v>63</v>
      </c>
      <c r="R53" s="33" t="s">
        <v>63</v>
      </c>
      <c r="S53" s="33" t="s">
        <v>67</v>
      </c>
      <c r="T53" s="33" t="s">
        <v>68</v>
      </c>
      <c r="U53" s="33" t="s">
        <v>63</v>
      </c>
      <c r="V53" s="33" t="s">
        <v>69</v>
      </c>
      <c r="W53" s="33" t="s">
        <v>70</v>
      </c>
      <c r="X53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53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53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53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53" s="33" t="s">
        <v>71</v>
      </c>
      <c r="AC53" s="33" t="s">
        <v>72</v>
      </c>
      <c r="AD53" s="33">
        <v>12.3</v>
      </c>
      <c r="AE53" s="33" t="s">
        <v>73</v>
      </c>
      <c r="AF53" s="38" t="s">
        <v>74</v>
      </c>
      <c r="AG53" s="38" t="s">
        <v>75</v>
      </c>
      <c r="AH53" s="33">
        <v>37143</v>
      </c>
      <c r="AI53" s="33" t="s">
        <v>63</v>
      </c>
      <c r="AJ53" s="33" t="s">
        <v>71</v>
      </c>
      <c r="AK53" s="37">
        <v>717.46</v>
      </c>
      <c r="AL53" s="37">
        <v>80.709999999999994</v>
      </c>
      <c r="AM53" s="37">
        <f t="shared" si="5"/>
        <v>588.3759</v>
      </c>
      <c r="AN53" s="37">
        <v>0</v>
      </c>
      <c r="AO53" s="37">
        <v>0</v>
      </c>
      <c r="AP53" s="37">
        <v>0</v>
      </c>
      <c r="AQ53" s="37">
        <v>122.97</v>
      </c>
      <c r="AR53" s="37">
        <v>400</v>
      </c>
      <c r="AS53" s="37">
        <v>45</v>
      </c>
      <c r="AT53" s="37">
        <f t="shared" si="6"/>
        <v>328.05</v>
      </c>
      <c r="AU53" s="47">
        <v>0</v>
      </c>
      <c r="AV53" s="47">
        <v>0</v>
      </c>
      <c r="AW53" s="37">
        <v>0</v>
      </c>
      <c r="AX53" s="37">
        <v>75</v>
      </c>
      <c r="AY53" s="30"/>
      <c r="AZ53" s="30"/>
      <c r="BA53" s="30"/>
      <c r="BB53" s="30"/>
    </row>
    <row r="54" spans="1:54" x14ac:dyDescent="0.25">
      <c r="A54" s="33" t="s">
        <v>82</v>
      </c>
      <c r="B54" s="33" t="s">
        <v>76</v>
      </c>
      <c r="C54" s="34">
        <v>45500</v>
      </c>
      <c r="D54" s="33">
        <v>410105</v>
      </c>
      <c r="E54" s="34" t="s">
        <v>63</v>
      </c>
      <c r="F54" s="33" t="s">
        <v>64</v>
      </c>
      <c r="G54" s="35">
        <v>13.89</v>
      </c>
      <c r="H54" s="33">
        <v>2000</v>
      </c>
      <c r="I54" s="33">
        <f t="shared" si="4"/>
        <v>27780</v>
      </c>
      <c r="J54" s="48">
        <f>WasteShipmentData[[#This Row],[Standardized Volume in lbs]]/2.2</f>
        <v>12627.272727272726</v>
      </c>
      <c r="K54" s="48">
        <f>8*2000</f>
        <v>16000</v>
      </c>
      <c r="L54" s="33" t="s">
        <v>83</v>
      </c>
      <c r="M54" s="33" t="s">
        <v>63</v>
      </c>
      <c r="N54" s="33" t="s">
        <v>83</v>
      </c>
      <c r="O54" s="33" t="s">
        <v>63</v>
      </c>
      <c r="P54" s="33" t="s">
        <v>63</v>
      </c>
      <c r="Q54" s="33" t="s">
        <v>63</v>
      </c>
      <c r="R54" s="33" t="s">
        <v>63</v>
      </c>
      <c r="S54" s="33" t="s">
        <v>84</v>
      </c>
      <c r="T54" s="33" t="s">
        <v>68</v>
      </c>
      <c r="U54" s="33" t="s">
        <v>63</v>
      </c>
      <c r="V54" s="33" t="s">
        <v>69</v>
      </c>
      <c r="W54" s="33" t="s">
        <v>70</v>
      </c>
      <c r="X54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54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54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54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54" s="33" t="s">
        <v>85</v>
      </c>
      <c r="AC54" s="33" t="s">
        <v>86</v>
      </c>
      <c r="AD54" s="33">
        <v>281.5</v>
      </c>
      <c r="AE54" s="33" t="s">
        <v>87</v>
      </c>
      <c r="AF54" s="38" t="s">
        <v>88</v>
      </c>
      <c r="AG54" s="38" t="s">
        <v>75</v>
      </c>
      <c r="AH54" s="33">
        <v>37660</v>
      </c>
      <c r="AI54" s="33" t="s">
        <v>63</v>
      </c>
      <c r="AJ54" s="33" t="s">
        <v>89</v>
      </c>
      <c r="AK54" s="37">
        <v>0</v>
      </c>
      <c r="AL54" s="37">
        <v>7.5</v>
      </c>
      <c r="AM54" s="37">
        <f t="shared" si="5"/>
        <v>104.17500000000001</v>
      </c>
      <c r="AN54" s="37">
        <v>0</v>
      </c>
      <c r="AO54" s="37">
        <v>0</v>
      </c>
      <c r="AP54" s="37">
        <v>0</v>
      </c>
      <c r="AQ54" s="37">
        <v>0</v>
      </c>
      <c r="AR54" s="37">
        <v>0</v>
      </c>
      <c r="AS54" s="37"/>
      <c r="AT54" s="37">
        <f t="shared" si="6"/>
        <v>0</v>
      </c>
      <c r="AU54" s="47">
        <v>0</v>
      </c>
      <c r="AV54" s="47">
        <v>0</v>
      </c>
      <c r="AW54" s="37">
        <f>G54*-155</f>
        <v>-2152.9500000000003</v>
      </c>
      <c r="AX54" s="37">
        <v>0</v>
      </c>
      <c r="AY54" s="30"/>
      <c r="AZ54" s="30"/>
      <c r="BA54" s="30"/>
      <c r="BB54" s="30"/>
    </row>
    <row r="55" spans="1:54" x14ac:dyDescent="0.25">
      <c r="A55" s="33" t="s">
        <v>61</v>
      </c>
      <c r="B55" s="33" t="s">
        <v>62</v>
      </c>
      <c r="C55" s="34">
        <v>45502</v>
      </c>
      <c r="D55" s="33">
        <v>410108</v>
      </c>
      <c r="E55" s="34" t="s">
        <v>63</v>
      </c>
      <c r="F55" s="33" t="s">
        <v>64</v>
      </c>
      <c r="G55" s="35">
        <v>1.32</v>
      </c>
      <c r="H55" s="33">
        <v>2000</v>
      </c>
      <c r="I55" s="33">
        <f t="shared" si="4"/>
        <v>2640</v>
      </c>
      <c r="J55" s="48">
        <f>WasteShipmentData[[#This Row],[Standardized Volume in lbs]]/2.2</f>
        <v>1200</v>
      </c>
      <c r="K55" s="48">
        <v>2500</v>
      </c>
      <c r="L55" s="33" t="s">
        <v>65</v>
      </c>
      <c r="M55" s="33" t="s">
        <v>63</v>
      </c>
      <c r="N55" s="33" t="s">
        <v>66</v>
      </c>
      <c r="O55" s="33" t="s">
        <v>63</v>
      </c>
      <c r="P55" s="33" t="s">
        <v>63</v>
      </c>
      <c r="Q55" s="33" t="s">
        <v>63</v>
      </c>
      <c r="R55" s="33" t="s">
        <v>63</v>
      </c>
      <c r="S55" s="33" t="s">
        <v>67</v>
      </c>
      <c r="T55" s="33" t="s">
        <v>68</v>
      </c>
      <c r="U55" s="33" t="s">
        <v>63</v>
      </c>
      <c r="V55" s="33" t="s">
        <v>69</v>
      </c>
      <c r="W55" s="33" t="s">
        <v>70</v>
      </c>
      <c r="X55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55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55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55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55" s="33" t="s">
        <v>71</v>
      </c>
      <c r="AC55" s="33" t="s">
        <v>72</v>
      </c>
      <c r="AD55" s="33">
        <v>12.3</v>
      </c>
      <c r="AE55" s="33" t="s">
        <v>73</v>
      </c>
      <c r="AF55" s="38" t="s">
        <v>74</v>
      </c>
      <c r="AG55" s="38" t="s">
        <v>75</v>
      </c>
      <c r="AH55" s="33">
        <v>37143</v>
      </c>
      <c r="AI55" s="33" t="s">
        <v>63</v>
      </c>
      <c r="AJ55" s="33" t="s">
        <v>71</v>
      </c>
      <c r="AK55" s="37">
        <v>450.98</v>
      </c>
      <c r="AL55" s="37">
        <v>108.58</v>
      </c>
      <c r="AM55" s="37">
        <f t="shared" si="5"/>
        <v>143.32560000000001</v>
      </c>
      <c r="AN55" s="37">
        <v>0</v>
      </c>
      <c r="AO55" s="37">
        <v>0</v>
      </c>
      <c r="AP55" s="37">
        <v>0</v>
      </c>
      <c r="AQ55" s="37">
        <v>0</v>
      </c>
      <c r="AR55" s="37">
        <v>275</v>
      </c>
      <c r="AS55" s="37">
        <v>90</v>
      </c>
      <c r="AT55" s="37">
        <f t="shared" si="6"/>
        <v>118.80000000000001</v>
      </c>
      <c r="AU55" s="47">
        <v>0</v>
      </c>
      <c r="AV55" s="47">
        <v>0</v>
      </c>
      <c r="AW55" s="37">
        <v>0</v>
      </c>
      <c r="AX55" s="37">
        <v>0</v>
      </c>
      <c r="AY55" s="30"/>
      <c r="AZ55" s="30"/>
      <c r="BA55" s="30"/>
      <c r="BB55" s="30"/>
    </row>
    <row r="56" spans="1:54" x14ac:dyDescent="0.25">
      <c r="A56" s="33" t="s">
        <v>61</v>
      </c>
      <c r="B56" s="33" t="s">
        <v>76</v>
      </c>
      <c r="C56" s="34">
        <v>45502</v>
      </c>
      <c r="D56" s="33">
        <v>410106</v>
      </c>
      <c r="E56" s="34" t="s">
        <v>63</v>
      </c>
      <c r="F56" s="33" t="s">
        <v>64</v>
      </c>
      <c r="G56" s="35">
        <v>3.09</v>
      </c>
      <c r="H56" s="33">
        <v>2000</v>
      </c>
      <c r="I56" s="33">
        <f t="shared" si="4"/>
        <v>6180</v>
      </c>
      <c r="J56" s="48">
        <f>WasteShipmentData[[#This Row],[Standardized Volume in lbs]]/2.2</f>
        <v>2809.090909090909</v>
      </c>
      <c r="K56" s="48">
        <f t="shared" ref="K56:K63" si="8">8*2000</f>
        <v>16000</v>
      </c>
      <c r="L56" s="33" t="s">
        <v>65</v>
      </c>
      <c r="M56" s="33" t="s">
        <v>63</v>
      </c>
      <c r="N56" s="33" t="s">
        <v>66</v>
      </c>
      <c r="O56" s="33" t="s">
        <v>63</v>
      </c>
      <c r="P56" s="33" t="s">
        <v>63</v>
      </c>
      <c r="Q56" s="33" t="s">
        <v>63</v>
      </c>
      <c r="R56" s="33" t="s">
        <v>63</v>
      </c>
      <c r="S56" s="33" t="s">
        <v>77</v>
      </c>
      <c r="T56" s="33" t="s">
        <v>78</v>
      </c>
      <c r="U56" s="33" t="s">
        <v>63</v>
      </c>
      <c r="V56" s="33" t="s">
        <v>69</v>
      </c>
      <c r="W56" s="33" t="s">
        <v>70</v>
      </c>
      <c r="X56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56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56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56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56" s="33" t="s">
        <v>71</v>
      </c>
      <c r="AC56" s="33" t="s">
        <v>72</v>
      </c>
      <c r="AD56" s="33">
        <v>12.3</v>
      </c>
      <c r="AE56" s="33" t="s">
        <v>73</v>
      </c>
      <c r="AF56" s="38" t="s">
        <v>74</v>
      </c>
      <c r="AG56" s="38" t="s">
        <v>75</v>
      </c>
      <c r="AH56" s="33">
        <v>37143</v>
      </c>
      <c r="AI56" s="33" t="s">
        <v>63</v>
      </c>
      <c r="AJ56" s="33" t="s">
        <v>71</v>
      </c>
      <c r="AK56" s="37">
        <v>450.98</v>
      </c>
      <c r="AL56" s="37">
        <v>108.58</v>
      </c>
      <c r="AM56" s="37">
        <f t="shared" si="5"/>
        <v>335.51220000000001</v>
      </c>
      <c r="AN56" s="37">
        <v>0</v>
      </c>
      <c r="AO56" s="37">
        <v>0</v>
      </c>
      <c r="AP56" s="37">
        <v>0</v>
      </c>
      <c r="AQ56" s="37">
        <v>0</v>
      </c>
      <c r="AR56" s="37">
        <v>275</v>
      </c>
      <c r="AS56" s="37">
        <v>90</v>
      </c>
      <c r="AT56" s="37">
        <f t="shared" si="6"/>
        <v>278.09999999999997</v>
      </c>
      <c r="AU56" s="47">
        <v>0</v>
      </c>
      <c r="AV56" s="47">
        <v>0</v>
      </c>
      <c r="AW56" s="37">
        <v>0</v>
      </c>
      <c r="AX56" s="37">
        <v>0</v>
      </c>
      <c r="AY56" s="30"/>
      <c r="AZ56" s="30"/>
      <c r="BA56" s="30"/>
      <c r="BB56" s="30"/>
    </row>
    <row r="57" spans="1:54" x14ac:dyDescent="0.25">
      <c r="A57" s="33" t="s">
        <v>61</v>
      </c>
      <c r="B57" s="33" t="s">
        <v>76</v>
      </c>
      <c r="C57" s="34">
        <v>45502</v>
      </c>
      <c r="D57" s="33">
        <v>410107</v>
      </c>
      <c r="E57" s="34" t="s">
        <v>63</v>
      </c>
      <c r="F57" s="33" t="s">
        <v>64</v>
      </c>
      <c r="G57" s="35">
        <v>1.8</v>
      </c>
      <c r="H57" s="33">
        <v>2000</v>
      </c>
      <c r="I57" s="33">
        <f t="shared" si="4"/>
        <v>3600</v>
      </c>
      <c r="J57" s="48">
        <f>WasteShipmentData[[#This Row],[Standardized Volume in lbs]]/2.2</f>
        <v>1636.3636363636363</v>
      </c>
      <c r="K57" s="48">
        <f t="shared" si="8"/>
        <v>16000</v>
      </c>
      <c r="L57" s="33" t="s">
        <v>65</v>
      </c>
      <c r="M57" s="33" t="s">
        <v>63</v>
      </c>
      <c r="N57" s="33" t="s">
        <v>66</v>
      </c>
      <c r="O57" s="33" t="s">
        <v>63</v>
      </c>
      <c r="P57" s="33" t="s">
        <v>63</v>
      </c>
      <c r="Q57" s="33" t="s">
        <v>63</v>
      </c>
      <c r="R57" s="33" t="s">
        <v>63</v>
      </c>
      <c r="S57" s="33" t="s">
        <v>77</v>
      </c>
      <c r="T57" s="33" t="s">
        <v>78</v>
      </c>
      <c r="U57" s="33" t="s">
        <v>63</v>
      </c>
      <c r="V57" s="33" t="s">
        <v>69</v>
      </c>
      <c r="W57" s="33" t="s">
        <v>70</v>
      </c>
      <c r="X57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57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57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57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57" s="33" t="s">
        <v>71</v>
      </c>
      <c r="AC57" s="33" t="s">
        <v>72</v>
      </c>
      <c r="AD57" s="33">
        <v>12.3</v>
      </c>
      <c r="AE57" s="33" t="s">
        <v>73</v>
      </c>
      <c r="AF57" s="38" t="s">
        <v>74</v>
      </c>
      <c r="AG57" s="38" t="s">
        <v>75</v>
      </c>
      <c r="AH57" s="33">
        <v>37143</v>
      </c>
      <c r="AI57" s="33" t="s">
        <v>63</v>
      </c>
      <c r="AJ57" s="33" t="s">
        <v>71</v>
      </c>
      <c r="AK57" s="37">
        <v>450.98</v>
      </c>
      <c r="AL57" s="37">
        <v>108.58</v>
      </c>
      <c r="AM57" s="37">
        <f t="shared" si="5"/>
        <v>195.44399999999999</v>
      </c>
      <c r="AN57" s="37">
        <v>0</v>
      </c>
      <c r="AO57" s="37">
        <v>0</v>
      </c>
      <c r="AP57" s="37">
        <v>0</v>
      </c>
      <c r="AQ57" s="37">
        <v>0</v>
      </c>
      <c r="AR57" s="37">
        <v>275</v>
      </c>
      <c r="AS57" s="37">
        <v>90</v>
      </c>
      <c r="AT57" s="37">
        <f t="shared" si="6"/>
        <v>162</v>
      </c>
      <c r="AU57" s="47">
        <v>0</v>
      </c>
      <c r="AV57" s="47">
        <v>0</v>
      </c>
      <c r="AW57" s="37">
        <v>0</v>
      </c>
      <c r="AX57" s="37">
        <v>0</v>
      </c>
      <c r="AY57" s="30"/>
      <c r="AZ57" s="30"/>
      <c r="BA57" s="30"/>
      <c r="BB57" s="30"/>
    </row>
    <row r="58" spans="1:54" x14ac:dyDescent="0.25">
      <c r="A58" s="33" t="s">
        <v>79</v>
      </c>
      <c r="B58" s="33" t="s">
        <v>80</v>
      </c>
      <c r="C58" s="39">
        <v>45503</v>
      </c>
      <c r="D58" s="33">
        <v>410109</v>
      </c>
      <c r="E58" s="34" t="s">
        <v>63</v>
      </c>
      <c r="F58" s="33" t="s">
        <v>64</v>
      </c>
      <c r="G58" s="33">
        <v>7.79</v>
      </c>
      <c r="H58" s="33">
        <v>2000</v>
      </c>
      <c r="I58" s="33">
        <f t="shared" si="4"/>
        <v>15580</v>
      </c>
      <c r="J58" s="48">
        <f>WasteShipmentData[[#This Row],[Standardized Volume in lbs]]/2.2</f>
        <v>7081.8181818181811</v>
      </c>
      <c r="K58" s="48">
        <f t="shared" si="8"/>
        <v>16000</v>
      </c>
      <c r="L58" s="33" t="s">
        <v>65</v>
      </c>
      <c r="M58" s="33" t="s">
        <v>63</v>
      </c>
      <c r="N58" s="33" t="s">
        <v>66</v>
      </c>
      <c r="O58" s="33" t="s">
        <v>63</v>
      </c>
      <c r="P58" s="33" t="s">
        <v>63</v>
      </c>
      <c r="Q58" s="33" t="s">
        <v>63</v>
      </c>
      <c r="R58" s="33" t="s">
        <v>63</v>
      </c>
      <c r="S58" s="33" t="s">
        <v>67</v>
      </c>
      <c r="T58" s="33" t="s">
        <v>68</v>
      </c>
      <c r="U58" s="33" t="s">
        <v>63</v>
      </c>
      <c r="V58" s="33" t="s">
        <v>69</v>
      </c>
      <c r="W58" s="33" t="s">
        <v>70</v>
      </c>
      <c r="X58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58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58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58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58" s="33" t="s">
        <v>71</v>
      </c>
      <c r="AC58" s="33" t="s">
        <v>72</v>
      </c>
      <c r="AD58" s="33">
        <v>12.3</v>
      </c>
      <c r="AE58" s="33" t="s">
        <v>73</v>
      </c>
      <c r="AF58" s="38" t="s">
        <v>74</v>
      </c>
      <c r="AG58" s="38" t="s">
        <v>75</v>
      </c>
      <c r="AH58" s="33">
        <v>37143</v>
      </c>
      <c r="AI58" s="33" t="s">
        <v>63</v>
      </c>
      <c r="AJ58" s="33" t="s">
        <v>71</v>
      </c>
      <c r="AK58" s="37">
        <v>717.46</v>
      </c>
      <c r="AL58" s="37">
        <v>80.709999999999994</v>
      </c>
      <c r="AM58" s="37">
        <f t="shared" si="5"/>
        <v>628.73089999999991</v>
      </c>
      <c r="AN58" s="37">
        <v>0</v>
      </c>
      <c r="AO58" s="37">
        <v>0</v>
      </c>
      <c r="AP58" s="37">
        <v>0</v>
      </c>
      <c r="AQ58" s="37">
        <v>122.97</v>
      </c>
      <c r="AR58" s="37">
        <v>400</v>
      </c>
      <c r="AS58" s="37">
        <v>45</v>
      </c>
      <c r="AT58" s="37">
        <f t="shared" si="6"/>
        <v>350.55</v>
      </c>
      <c r="AU58" s="47">
        <v>0</v>
      </c>
      <c r="AV58" s="47">
        <v>0</v>
      </c>
      <c r="AW58" s="37">
        <v>0</v>
      </c>
      <c r="AX58" s="37">
        <v>75</v>
      </c>
      <c r="AY58" s="30"/>
      <c r="AZ58" s="30"/>
      <c r="BA58" s="30"/>
      <c r="BB58" s="30"/>
    </row>
    <row r="59" spans="1:54" x14ac:dyDescent="0.25">
      <c r="A59" s="33" t="s">
        <v>79</v>
      </c>
      <c r="B59" s="33" t="s">
        <v>80</v>
      </c>
      <c r="C59" s="39">
        <v>45503</v>
      </c>
      <c r="D59" s="33">
        <v>410110</v>
      </c>
      <c r="E59" s="34" t="s">
        <v>63</v>
      </c>
      <c r="F59" s="33" t="s">
        <v>64</v>
      </c>
      <c r="G59" s="33">
        <v>7.29</v>
      </c>
      <c r="H59" s="33">
        <v>2000</v>
      </c>
      <c r="I59" s="33">
        <f t="shared" si="4"/>
        <v>14580</v>
      </c>
      <c r="J59" s="48">
        <f>WasteShipmentData[[#This Row],[Standardized Volume in lbs]]/2.2</f>
        <v>6627.272727272727</v>
      </c>
      <c r="K59" s="48">
        <f t="shared" si="8"/>
        <v>16000</v>
      </c>
      <c r="L59" s="33" t="s">
        <v>65</v>
      </c>
      <c r="M59" s="33" t="s">
        <v>63</v>
      </c>
      <c r="N59" s="33" t="s">
        <v>66</v>
      </c>
      <c r="O59" s="33" t="s">
        <v>63</v>
      </c>
      <c r="P59" s="33" t="s">
        <v>63</v>
      </c>
      <c r="Q59" s="33" t="s">
        <v>63</v>
      </c>
      <c r="R59" s="33" t="s">
        <v>63</v>
      </c>
      <c r="S59" s="33" t="s">
        <v>67</v>
      </c>
      <c r="T59" s="33" t="s">
        <v>68</v>
      </c>
      <c r="U59" s="33" t="s">
        <v>63</v>
      </c>
      <c r="V59" s="33" t="s">
        <v>69</v>
      </c>
      <c r="W59" s="33" t="s">
        <v>70</v>
      </c>
      <c r="X59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59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59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59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59" s="33" t="s">
        <v>71</v>
      </c>
      <c r="AC59" s="33" t="s">
        <v>72</v>
      </c>
      <c r="AD59" s="33">
        <v>12.3</v>
      </c>
      <c r="AE59" s="33" t="s">
        <v>73</v>
      </c>
      <c r="AF59" s="38" t="s">
        <v>74</v>
      </c>
      <c r="AG59" s="38" t="s">
        <v>75</v>
      </c>
      <c r="AH59" s="33">
        <v>37143</v>
      </c>
      <c r="AI59" s="33" t="s">
        <v>63</v>
      </c>
      <c r="AJ59" s="33" t="s">
        <v>71</v>
      </c>
      <c r="AK59" s="37">
        <v>717.46</v>
      </c>
      <c r="AL59" s="37">
        <v>80.709999999999994</v>
      </c>
      <c r="AM59" s="37">
        <f t="shared" si="5"/>
        <v>588.3759</v>
      </c>
      <c r="AN59" s="37">
        <v>0</v>
      </c>
      <c r="AO59" s="37">
        <v>0</v>
      </c>
      <c r="AP59" s="37">
        <v>0</v>
      </c>
      <c r="AQ59" s="37">
        <v>122.97</v>
      </c>
      <c r="AR59" s="37">
        <v>400</v>
      </c>
      <c r="AS59" s="37">
        <v>45</v>
      </c>
      <c r="AT59" s="37">
        <f t="shared" si="6"/>
        <v>328.05</v>
      </c>
      <c r="AU59" s="47">
        <v>0</v>
      </c>
      <c r="AV59" s="47">
        <v>0</v>
      </c>
      <c r="AW59" s="37">
        <v>0</v>
      </c>
      <c r="AX59" s="37">
        <v>75</v>
      </c>
      <c r="AY59" s="30"/>
      <c r="AZ59" s="30"/>
      <c r="BA59" s="30"/>
      <c r="BB59" s="30"/>
    </row>
    <row r="60" spans="1:54" x14ac:dyDescent="0.25">
      <c r="A60" s="33" t="s">
        <v>79</v>
      </c>
      <c r="B60" s="33" t="s">
        <v>80</v>
      </c>
      <c r="C60" s="39">
        <v>45505</v>
      </c>
      <c r="D60" s="33">
        <v>410111</v>
      </c>
      <c r="E60" s="34" t="s">
        <v>63</v>
      </c>
      <c r="F60" s="33" t="s">
        <v>64</v>
      </c>
      <c r="G60" s="33">
        <v>7.69</v>
      </c>
      <c r="H60" s="33">
        <v>2000</v>
      </c>
      <c r="I60" s="33">
        <f t="shared" si="4"/>
        <v>15380</v>
      </c>
      <c r="J60" s="48">
        <f>WasteShipmentData[[#This Row],[Standardized Volume in lbs]]/2.2</f>
        <v>6990.9090909090901</v>
      </c>
      <c r="K60" s="48">
        <f t="shared" si="8"/>
        <v>16000</v>
      </c>
      <c r="L60" s="33" t="s">
        <v>65</v>
      </c>
      <c r="M60" s="33" t="s">
        <v>63</v>
      </c>
      <c r="N60" s="33" t="s">
        <v>66</v>
      </c>
      <c r="O60" s="33" t="s">
        <v>63</v>
      </c>
      <c r="P60" s="33" t="s">
        <v>63</v>
      </c>
      <c r="Q60" s="33" t="s">
        <v>63</v>
      </c>
      <c r="R60" s="33" t="s">
        <v>63</v>
      </c>
      <c r="S60" s="33" t="s">
        <v>67</v>
      </c>
      <c r="T60" s="33" t="s">
        <v>68</v>
      </c>
      <c r="U60" s="33" t="s">
        <v>63</v>
      </c>
      <c r="V60" s="33" t="s">
        <v>69</v>
      </c>
      <c r="W60" s="33" t="s">
        <v>70</v>
      </c>
      <c r="X60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60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60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60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60" s="33" t="s">
        <v>71</v>
      </c>
      <c r="AC60" s="33" t="s">
        <v>72</v>
      </c>
      <c r="AD60" s="33">
        <v>12.3</v>
      </c>
      <c r="AE60" s="33" t="s">
        <v>73</v>
      </c>
      <c r="AF60" s="38" t="s">
        <v>74</v>
      </c>
      <c r="AG60" s="38" t="s">
        <v>75</v>
      </c>
      <c r="AH60" s="33">
        <v>37143</v>
      </c>
      <c r="AI60" s="33" t="s">
        <v>63</v>
      </c>
      <c r="AJ60" s="33" t="s">
        <v>71</v>
      </c>
      <c r="AK60" s="37">
        <v>717.46</v>
      </c>
      <c r="AL60" s="37">
        <v>80.709999999999994</v>
      </c>
      <c r="AM60" s="37">
        <f t="shared" si="5"/>
        <v>620.65989999999999</v>
      </c>
      <c r="AN60" s="37">
        <v>0</v>
      </c>
      <c r="AO60" s="37">
        <v>0</v>
      </c>
      <c r="AP60" s="37">
        <v>0</v>
      </c>
      <c r="AQ60" s="37">
        <v>122.97</v>
      </c>
      <c r="AR60" s="37">
        <v>400</v>
      </c>
      <c r="AS60" s="37">
        <v>45</v>
      </c>
      <c r="AT60" s="37">
        <f t="shared" si="6"/>
        <v>346.05</v>
      </c>
      <c r="AU60" s="47">
        <v>0</v>
      </c>
      <c r="AV60" s="47">
        <v>0</v>
      </c>
      <c r="AW60" s="37">
        <v>0</v>
      </c>
      <c r="AX60" s="37">
        <v>75</v>
      </c>
      <c r="AY60" s="30"/>
      <c r="AZ60" s="30"/>
      <c r="BA60" s="30"/>
      <c r="BB60" s="30"/>
    </row>
    <row r="61" spans="1:54" x14ac:dyDescent="0.25">
      <c r="A61" s="33" t="s">
        <v>61</v>
      </c>
      <c r="B61" s="33" t="s">
        <v>62</v>
      </c>
      <c r="C61" s="41">
        <v>45505</v>
      </c>
      <c r="D61" s="33">
        <v>410112</v>
      </c>
      <c r="E61" s="34" t="s">
        <v>63</v>
      </c>
      <c r="F61" s="33" t="s">
        <v>64</v>
      </c>
      <c r="G61" s="42">
        <v>5.0599999999999996</v>
      </c>
      <c r="H61" s="33">
        <v>2000</v>
      </c>
      <c r="I61" s="33">
        <f t="shared" si="4"/>
        <v>10120</v>
      </c>
      <c r="J61" s="48">
        <f>WasteShipmentData[[#This Row],[Standardized Volume in lbs]]/2.2</f>
        <v>4600</v>
      </c>
      <c r="K61" s="48">
        <f t="shared" si="8"/>
        <v>16000</v>
      </c>
      <c r="L61" s="33" t="s">
        <v>65</v>
      </c>
      <c r="M61" s="33" t="s">
        <v>63</v>
      </c>
      <c r="N61" s="33" t="s">
        <v>66</v>
      </c>
      <c r="O61" s="33" t="s">
        <v>63</v>
      </c>
      <c r="P61" s="33" t="s">
        <v>63</v>
      </c>
      <c r="Q61" s="33" t="s">
        <v>63</v>
      </c>
      <c r="R61" s="33" t="s">
        <v>63</v>
      </c>
      <c r="S61" s="33" t="s">
        <v>77</v>
      </c>
      <c r="T61" s="33" t="s">
        <v>78</v>
      </c>
      <c r="U61" s="33" t="s">
        <v>63</v>
      </c>
      <c r="V61" s="33" t="s">
        <v>69</v>
      </c>
      <c r="W61" s="33" t="s">
        <v>70</v>
      </c>
      <c r="X61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61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61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61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61" s="33" t="s">
        <v>71</v>
      </c>
      <c r="AC61" s="33" t="s">
        <v>72</v>
      </c>
      <c r="AD61" s="33">
        <v>12.3</v>
      </c>
      <c r="AE61" s="33" t="s">
        <v>73</v>
      </c>
      <c r="AF61" s="38" t="s">
        <v>74</v>
      </c>
      <c r="AG61" s="38" t="s">
        <v>75</v>
      </c>
      <c r="AH61" s="33">
        <v>37143</v>
      </c>
      <c r="AI61" s="33" t="s">
        <v>63</v>
      </c>
      <c r="AJ61" s="33" t="s">
        <v>71</v>
      </c>
      <c r="AK61" s="37">
        <v>450.98</v>
      </c>
      <c r="AL61" s="37">
        <v>108.58</v>
      </c>
      <c r="AM61" s="37">
        <f t="shared" si="5"/>
        <v>549.4147999999999</v>
      </c>
      <c r="AN61" s="37">
        <v>0</v>
      </c>
      <c r="AO61" s="37">
        <v>0</v>
      </c>
      <c r="AP61" s="37">
        <v>0</v>
      </c>
      <c r="AQ61" s="37">
        <v>0</v>
      </c>
      <c r="AR61" s="37">
        <v>275</v>
      </c>
      <c r="AS61" s="37">
        <v>90</v>
      </c>
      <c r="AT61" s="37">
        <f t="shared" si="6"/>
        <v>455.4</v>
      </c>
      <c r="AU61" s="47">
        <v>0</v>
      </c>
      <c r="AV61" s="47">
        <v>0</v>
      </c>
      <c r="AW61" s="37">
        <v>0</v>
      </c>
      <c r="AX61" s="37">
        <v>0</v>
      </c>
      <c r="AY61" s="30"/>
      <c r="AZ61" s="30"/>
      <c r="BA61" s="30"/>
      <c r="BB61" s="30"/>
    </row>
    <row r="62" spans="1:54" x14ac:dyDescent="0.25">
      <c r="A62" s="33" t="s">
        <v>61</v>
      </c>
      <c r="B62" s="33" t="s">
        <v>62</v>
      </c>
      <c r="C62" s="41">
        <v>45505</v>
      </c>
      <c r="D62" s="33">
        <v>410113</v>
      </c>
      <c r="E62" s="34" t="s">
        <v>63</v>
      </c>
      <c r="F62" s="33" t="s">
        <v>64</v>
      </c>
      <c r="G62" s="42">
        <v>2.65</v>
      </c>
      <c r="H62" s="33">
        <v>2000</v>
      </c>
      <c r="I62" s="33">
        <f t="shared" si="4"/>
        <v>5300</v>
      </c>
      <c r="J62" s="48">
        <f>WasteShipmentData[[#This Row],[Standardized Volume in lbs]]/2.2</f>
        <v>2409.090909090909</v>
      </c>
      <c r="K62" s="48">
        <f t="shared" si="8"/>
        <v>16000</v>
      </c>
      <c r="L62" s="33" t="s">
        <v>65</v>
      </c>
      <c r="M62" s="33" t="s">
        <v>63</v>
      </c>
      <c r="N62" s="33" t="s">
        <v>66</v>
      </c>
      <c r="O62" s="33" t="s">
        <v>63</v>
      </c>
      <c r="P62" s="33" t="s">
        <v>63</v>
      </c>
      <c r="Q62" s="33" t="s">
        <v>63</v>
      </c>
      <c r="R62" s="33" t="s">
        <v>63</v>
      </c>
      <c r="S62" s="33" t="s">
        <v>77</v>
      </c>
      <c r="T62" s="33" t="s">
        <v>78</v>
      </c>
      <c r="U62" s="33" t="s">
        <v>63</v>
      </c>
      <c r="V62" s="33" t="s">
        <v>69</v>
      </c>
      <c r="W62" s="33" t="s">
        <v>70</v>
      </c>
      <c r="X62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62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62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62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62" s="33" t="s">
        <v>71</v>
      </c>
      <c r="AC62" s="33" t="s">
        <v>72</v>
      </c>
      <c r="AD62" s="33">
        <v>12.3</v>
      </c>
      <c r="AE62" s="33" t="s">
        <v>73</v>
      </c>
      <c r="AF62" s="38" t="s">
        <v>74</v>
      </c>
      <c r="AG62" s="38" t="s">
        <v>75</v>
      </c>
      <c r="AH62" s="33">
        <v>37143</v>
      </c>
      <c r="AI62" s="33" t="s">
        <v>63</v>
      </c>
      <c r="AJ62" s="33" t="s">
        <v>71</v>
      </c>
      <c r="AK62" s="37">
        <v>450.98</v>
      </c>
      <c r="AL62" s="37">
        <v>108.58</v>
      </c>
      <c r="AM62" s="37">
        <f t="shared" si="5"/>
        <v>287.73699999999997</v>
      </c>
      <c r="AN62" s="37">
        <v>0</v>
      </c>
      <c r="AO62" s="37">
        <v>0</v>
      </c>
      <c r="AP62" s="37">
        <v>0</v>
      </c>
      <c r="AQ62" s="37">
        <v>0</v>
      </c>
      <c r="AR62" s="37">
        <v>275</v>
      </c>
      <c r="AS62" s="37">
        <v>90</v>
      </c>
      <c r="AT62" s="37">
        <f t="shared" si="6"/>
        <v>238.5</v>
      </c>
      <c r="AU62" s="47">
        <v>0</v>
      </c>
      <c r="AV62" s="47">
        <v>0</v>
      </c>
      <c r="AW62" s="37">
        <v>0</v>
      </c>
      <c r="AX62" s="37">
        <v>0</v>
      </c>
      <c r="AY62" s="30"/>
      <c r="AZ62" s="30"/>
      <c r="BA62" s="30"/>
      <c r="BB62" s="30"/>
    </row>
    <row r="63" spans="1:54" x14ac:dyDescent="0.25">
      <c r="A63" s="33" t="s">
        <v>79</v>
      </c>
      <c r="B63" s="33" t="s">
        <v>80</v>
      </c>
      <c r="C63" s="39">
        <v>45506</v>
      </c>
      <c r="D63" s="33">
        <v>410114</v>
      </c>
      <c r="E63" s="34" t="s">
        <v>63</v>
      </c>
      <c r="F63" s="33" t="s">
        <v>64</v>
      </c>
      <c r="G63" s="33">
        <v>9.7200000000000006</v>
      </c>
      <c r="H63" s="33">
        <v>2000</v>
      </c>
      <c r="I63" s="33">
        <f t="shared" si="4"/>
        <v>19440</v>
      </c>
      <c r="J63" s="48">
        <f>WasteShipmentData[[#This Row],[Standardized Volume in lbs]]/2.2</f>
        <v>8836.363636363636</v>
      </c>
      <c r="K63" s="48">
        <f t="shared" si="8"/>
        <v>16000</v>
      </c>
      <c r="L63" s="33" t="s">
        <v>65</v>
      </c>
      <c r="M63" s="33" t="s">
        <v>63</v>
      </c>
      <c r="N63" s="33" t="s">
        <v>66</v>
      </c>
      <c r="O63" s="33" t="s">
        <v>63</v>
      </c>
      <c r="P63" s="33" t="s">
        <v>63</v>
      </c>
      <c r="Q63" s="33" t="s">
        <v>63</v>
      </c>
      <c r="R63" s="33" t="s">
        <v>63</v>
      </c>
      <c r="S63" s="33" t="s">
        <v>67</v>
      </c>
      <c r="T63" s="33" t="s">
        <v>68</v>
      </c>
      <c r="U63" s="33" t="s">
        <v>63</v>
      </c>
      <c r="V63" s="33" t="s">
        <v>69</v>
      </c>
      <c r="W63" s="33" t="s">
        <v>70</v>
      </c>
      <c r="X63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63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63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63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63" s="33" t="s">
        <v>71</v>
      </c>
      <c r="AC63" s="33" t="s">
        <v>72</v>
      </c>
      <c r="AD63" s="33">
        <v>12.3</v>
      </c>
      <c r="AE63" s="33" t="s">
        <v>73</v>
      </c>
      <c r="AF63" s="38" t="s">
        <v>74</v>
      </c>
      <c r="AG63" s="38" t="s">
        <v>75</v>
      </c>
      <c r="AH63" s="33">
        <v>37143</v>
      </c>
      <c r="AI63" s="33" t="s">
        <v>63</v>
      </c>
      <c r="AJ63" s="33" t="s">
        <v>71</v>
      </c>
      <c r="AK63" s="37">
        <v>717.46</v>
      </c>
      <c r="AL63" s="37">
        <v>80.709999999999994</v>
      </c>
      <c r="AM63" s="37">
        <f t="shared" si="5"/>
        <v>784.50120000000004</v>
      </c>
      <c r="AN63" s="37">
        <v>0</v>
      </c>
      <c r="AO63" s="37">
        <v>0</v>
      </c>
      <c r="AP63" s="37">
        <v>0</v>
      </c>
      <c r="AQ63" s="37">
        <v>122.97</v>
      </c>
      <c r="AR63" s="37">
        <v>400</v>
      </c>
      <c r="AS63" s="37">
        <v>45</v>
      </c>
      <c r="AT63" s="37">
        <f t="shared" si="6"/>
        <v>437.40000000000003</v>
      </c>
      <c r="AU63" s="47">
        <v>0</v>
      </c>
      <c r="AV63" s="47">
        <v>0</v>
      </c>
      <c r="AW63" s="37">
        <v>0</v>
      </c>
      <c r="AX63" s="37">
        <v>75</v>
      </c>
      <c r="AY63" s="30"/>
      <c r="AZ63" s="30"/>
      <c r="BA63" s="30"/>
      <c r="BB63" s="30"/>
    </row>
    <row r="64" spans="1:54" x14ac:dyDescent="0.25">
      <c r="A64" s="33" t="s">
        <v>81</v>
      </c>
      <c r="B64" s="33" t="s">
        <v>80</v>
      </c>
      <c r="C64" s="39">
        <v>45509</v>
      </c>
      <c r="D64" s="33">
        <v>410115</v>
      </c>
      <c r="E64" s="34" t="s">
        <v>63</v>
      </c>
      <c r="F64" s="33" t="s">
        <v>64</v>
      </c>
      <c r="G64" s="33">
        <v>3.23</v>
      </c>
      <c r="H64" s="33">
        <v>2000</v>
      </c>
      <c r="I64" s="33">
        <f t="shared" si="4"/>
        <v>6460</v>
      </c>
      <c r="J64" s="48">
        <f>WasteShipmentData[[#This Row],[Standardized Volume in lbs]]/2.2</f>
        <v>2936.363636363636</v>
      </c>
      <c r="K64" s="48">
        <v>2000</v>
      </c>
      <c r="L64" s="33" t="s">
        <v>65</v>
      </c>
      <c r="M64" s="33" t="s">
        <v>63</v>
      </c>
      <c r="N64" s="33" t="s">
        <v>66</v>
      </c>
      <c r="O64" s="33" t="s">
        <v>63</v>
      </c>
      <c r="P64" s="33" t="s">
        <v>63</v>
      </c>
      <c r="Q64" s="33" t="s">
        <v>63</v>
      </c>
      <c r="R64" s="33" t="s">
        <v>63</v>
      </c>
      <c r="S64" s="33" t="s">
        <v>67</v>
      </c>
      <c r="T64" s="33" t="s">
        <v>68</v>
      </c>
      <c r="U64" s="33" t="s">
        <v>63</v>
      </c>
      <c r="V64" s="33" t="s">
        <v>69</v>
      </c>
      <c r="W64" s="33" t="s">
        <v>70</v>
      </c>
      <c r="X64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64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64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64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64" s="33" t="s">
        <v>71</v>
      </c>
      <c r="AC64" s="33" t="s">
        <v>72</v>
      </c>
      <c r="AD64" s="33">
        <v>12.3</v>
      </c>
      <c r="AE64" s="33" t="s">
        <v>73</v>
      </c>
      <c r="AF64" s="38" t="s">
        <v>74</v>
      </c>
      <c r="AG64" s="38" t="s">
        <v>75</v>
      </c>
      <c r="AH64" s="33">
        <v>37143</v>
      </c>
      <c r="AI64" s="33" t="s">
        <v>63</v>
      </c>
      <c r="AJ64" s="33" t="s">
        <v>71</v>
      </c>
      <c r="AK64" s="37">
        <v>717.46</v>
      </c>
      <c r="AL64" s="37">
        <v>80.709999999999994</v>
      </c>
      <c r="AM64" s="37">
        <f t="shared" si="5"/>
        <v>260.69329999999997</v>
      </c>
      <c r="AN64" s="37">
        <v>0</v>
      </c>
      <c r="AO64" s="37">
        <v>0</v>
      </c>
      <c r="AP64" s="37">
        <v>0</v>
      </c>
      <c r="AQ64" s="37">
        <v>122.97</v>
      </c>
      <c r="AR64" s="37">
        <v>400</v>
      </c>
      <c r="AS64" s="37">
        <v>45</v>
      </c>
      <c r="AT64" s="37">
        <f t="shared" si="6"/>
        <v>145.35</v>
      </c>
      <c r="AU64" s="47">
        <v>0</v>
      </c>
      <c r="AV64" s="47">
        <v>0</v>
      </c>
      <c r="AW64" s="37">
        <v>0</v>
      </c>
      <c r="AX64" s="37">
        <v>75</v>
      </c>
      <c r="AY64" s="30"/>
      <c r="AZ64" s="30"/>
      <c r="BA64" s="30"/>
      <c r="BB64" s="30"/>
    </row>
    <row r="65" spans="1:54" x14ac:dyDescent="0.25">
      <c r="A65" s="33" t="s">
        <v>61</v>
      </c>
      <c r="B65" s="33" t="s">
        <v>76</v>
      </c>
      <c r="C65" s="41">
        <v>45509</v>
      </c>
      <c r="D65" s="33">
        <v>410119</v>
      </c>
      <c r="E65" s="34" t="s">
        <v>63</v>
      </c>
      <c r="F65" s="33" t="s">
        <v>64</v>
      </c>
      <c r="G65" s="42">
        <v>1.55</v>
      </c>
      <c r="H65" s="33">
        <v>2000</v>
      </c>
      <c r="I65" s="33">
        <f t="shared" si="4"/>
        <v>3100</v>
      </c>
      <c r="J65" s="48">
        <f>WasteShipmentData[[#This Row],[Standardized Volume in lbs]]/2.2</f>
        <v>1409.090909090909</v>
      </c>
      <c r="K65" s="48">
        <v>2500</v>
      </c>
      <c r="L65" s="33" t="s">
        <v>65</v>
      </c>
      <c r="M65" s="33" t="s">
        <v>63</v>
      </c>
      <c r="N65" s="33" t="s">
        <v>66</v>
      </c>
      <c r="O65" s="33" t="s">
        <v>63</v>
      </c>
      <c r="P65" s="33" t="s">
        <v>63</v>
      </c>
      <c r="Q65" s="33" t="s">
        <v>63</v>
      </c>
      <c r="R65" s="33" t="s">
        <v>63</v>
      </c>
      <c r="S65" s="33" t="s">
        <v>67</v>
      </c>
      <c r="T65" s="33" t="s">
        <v>68</v>
      </c>
      <c r="U65" s="33" t="s">
        <v>63</v>
      </c>
      <c r="V65" s="33" t="s">
        <v>69</v>
      </c>
      <c r="W65" s="33" t="s">
        <v>70</v>
      </c>
      <c r="X65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65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65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65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65" s="33" t="s">
        <v>71</v>
      </c>
      <c r="AC65" s="33" t="s">
        <v>72</v>
      </c>
      <c r="AD65" s="33">
        <v>12.3</v>
      </c>
      <c r="AE65" s="33" t="s">
        <v>73</v>
      </c>
      <c r="AF65" s="38" t="s">
        <v>74</v>
      </c>
      <c r="AG65" s="38" t="s">
        <v>75</v>
      </c>
      <c r="AH65" s="33">
        <v>37143</v>
      </c>
      <c r="AI65" s="33" t="s">
        <v>63</v>
      </c>
      <c r="AJ65" s="33" t="s">
        <v>71</v>
      </c>
      <c r="AK65" s="37">
        <v>450.98</v>
      </c>
      <c r="AL65" s="37">
        <v>108.58</v>
      </c>
      <c r="AM65" s="37">
        <f t="shared" si="5"/>
        <v>168.29900000000001</v>
      </c>
      <c r="AN65" s="37">
        <v>0</v>
      </c>
      <c r="AO65" s="37">
        <v>0</v>
      </c>
      <c r="AP65" s="37">
        <v>0</v>
      </c>
      <c r="AQ65" s="37">
        <v>0</v>
      </c>
      <c r="AR65" s="37">
        <v>275</v>
      </c>
      <c r="AS65" s="37">
        <v>90</v>
      </c>
      <c r="AT65" s="37">
        <f t="shared" si="6"/>
        <v>139.5</v>
      </c>
      <c r="AU65" s="47">
        <v>0</v>
      </c>
      <c r="AV65" s="47">
        <v>0</v>
      </c>
      <c r="AW65" s="37">
        <v>0</v>
      </c>
      <c r="AX65" s="37">
        <v>0</v>
      </c>
      <c r="AY65" s="30"/>
      <c r="AZ65" s="30"/>
      <c r="BA65" s="30"/>
      <c r="BB65" s="30"/>
    </row>
    <row r="66" spans="1:54" x14ac:dyDescent="0.25">
      <c r="A66" s="33" t="s">
        <v>61</v>
      </c>
      <c r="B66" s="33" t="s">
        <v>62</v>
      </c>
      <c r="C66" s="41">
        <v>45509</v>
      </c>
      <c r="D66" s="33">
        <v>410118</v>
      </c>
      <c r="E66" s="34" t="s">
        <v>63</v>
      </c>
      <c r="F66" s="33" t="s">
        <v>64</v>
      </c>
      <c r="G66" s="42">
        <v>1.66</v>
      </c>
      <c r="H66" s="33">
        <v>2000</v>
      </c>
      <c r="I66" s="33">
        <f t="shared" si="4"/>
        <v>3320</v>
      </c>
      <c r="J66" s="48">
        <f>WasteShipmentData[[#This Row],[Standardized Volume in lbs]]/2.2</f>
        <v>1509.090909090909</v>
      </c>
      <c r="K66" s="48">
        <v>2500</v>
      </c>
      <c r="L66" s="33" t="s">
        <v>65</v>
      </c>
      <c r="M66" s="33" t="s">
        <v>63</v>
      </c>
      <c r="N66" s="33" t="s">
        <v>66</v>
      </c>
      <c r="O66" s="33" t="s">
        <v>63</v>
      </c>
      <c r="P66" s="33" t="s">
        <v>63</v>
      </c>
      <c r="Q66" s="33" t="s">
        <v>63</v>
      </c>
      <c r="R66" s="33" t="s">
        <v>63</v>
      </c>
      <c r="S66" s="33" t="s">
        <v>67</v>
      </c>
      <c r="T66" s="33" t="s">
        <v>68</v>
      </c>
      <c r="U66" s="33" t="s">
        <v>63</v>
      </c>
      <c r="V66" s="33" t="s">
        <v>69</v>
      </c>
      <c r="W66" s="33" t="s">
        <v>70</v>
      </c>
      <c r="X66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66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66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66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66" s="33" t="s">
        <v>71</v>
      </c>
      <c r="AC66" s="33" t="s">
        <v>72</v>
      </c>
      <c r="AD66" s="33">
        <v>12.3</v>
      </c>
      <c r="AE66" s="33" t="s">
        <v>73</v>
      </c>
      <c r="AF66" s="38" t="s">
        <v>74</v>
      </c>
      <c r="AG66" s="38" t="s">
        <v>75</v>
      </c>
      <c r="AH66" s="33">
        <v>37143</v>
      </c>
      <c r="AI66" s="33" t="s">
        <v>63</v>
      </c>
      <c r="AJ66" s="33" t="s">
        <v>71</v>
      </c>
      <c r="AK66" s="37">
        <v>450.98</v>
      </c>
      <c r="AL66" s="37">
        <v>108.58</v>
      </c>
      <c r="AM66" s="37">
        <f t="shared" si="5"/>
        <v>180.24279999999999</v>
      </c>
      <c r="AN66" s="37">
        <v>0</v>
      </c>
      <c r="AO66" s="37">
        <v>0</v>
      </c>
      <c r="AP66" s="37">
        <v>0</v>
      </c>
      <c r="AQ66" s="37">
        <v>0</v>
      </c>
      <c r="AR66" s="37">
        <v>275</v>
      </c>
      <c r="AS66" s="37">
        <v>90</v>
      </c>
      <c r="AT66" s="37">
        <f t="shared" si="6"/>
        <v>149.4</v>
      </c>
      <c r="AU66" s="47">
        <v>0</v>
      </c>
      <c r="AV66" s="47">
        <v>0</v>
      </c>
      <c r="AW66" s="37">
        <v>0</v>
      </c>
      <c r="AX66" s="37">
        <v>0</v>
      </c>
      <c r="AY66" s="30"/>
      <c r="AZ66" s="30"/>
      <c r="BA66" s="30"/>
      <c r="BB66" s="30"/>
    </row>
    <row r="67" spans="1:54" x14ac:dyDescent="0.25">
      <c r="A67" s="33" t="s">
        <v>61</v>
      </c>
      <c r="B67" s="33" t="s">
        <v>62</v>
      </c>
      <c r="C67" s="41">
        <v>45509</v>
      </c>
      <c r="D67" s="33">
        <v>410116</v>
      </c>
      <c r="E67" s="34" t="s">
        <v>63</v>
      </c>
      <c r="F67" s="33" t="s">
        <v>64</v>
      </c>
      <c r="G67" s="42">
        <v>1.55</v>
      </c>
      <c r="H67" s="33">
        <v>2000</v>
      </c>
      <c r="I67" s="33">
        <f t="shared" si="4"/>
        <v>3100</v>
      </c>
      <c r="J67" s="48">
        <f>WasteShipmentData[[#This Row],[Standardized Volume in lbs]]/2.2</f>
        <v>1409.090909090909</v>
      </c>
      <c r="K67" s="48">
        <f>8*2000</f>
        <v>16000</v>
      </c>
      <c r="L67" s="33" t="s">
        <v>65</v>
      </c>
      <c r="M67" s="33" t="s">
        <v>63</v>
      </c>
      <c r="N67" s="33" t="s">
        <v>66</v>
      </c>
      <c r="O67" s="33" t="s">
        <v>63</v>
      </c>
      <c r="P67" s="33" t="s">
        <v>63</v>
      </c>
      <c r="Q67" s="33" t="s">
        <v>63</v>
      </c>
      <c r="R67" s="33" t="s">
        <v>63</v>
      </c>
      <c r="S67" s="33" t="s">
        <v>77</v>
      </c>
      <c r="T67" s="33" t="s">
        <v>78</v>
      </c>
      <c r="U67" s="33" t="s">
        <v>63</v>
      </c>
      <c r="V67" s="33" t="s">
        <v>69</v>
      </c>
      <c r="W67" s="33" t="s">
        <v>70</v>
      </c>
      <c r="X67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67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67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67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67" s="33" t="s">
        <v>71</v>
      </c>
      <c r="AC67" s="33" t="s">
        <v>72</v>
      </c>
      <c r="AD67" s="33">
        <v>12.3</v>
      </c>
      <c r="AE67" s="33" t="s">
        <v>73</v>
      </c>
      <c r="AF67" s="38" t="s">
        <v>74</v>
      </c>
      <c r="AG67" s="38" t="s">
        <v>75</v>
      </c>
      <c r="AH67" s="33">
        <v>37143</v>
      </c>
      <c r="AI67" s="33" t="s">
        <v>63</v>
      </c>
      <c r="AJ67" s="33" t="s">
        <v>71</v>
      </c>
      <c r="AK67" s="37">
        <v>450.98</v>
      </c>
      <c r="AL67" s="37">
        <v>108.58</v>
      </c>
      <c r="AM67" s="37">
        <f t="shared" ref="AM67:AM98" si="9">AL67*G67</f>
        <v>168.29900000000001</v>
      </c>
      <c r="AN67" s="37">
        <v>0</v>
      </c>
      <c r="AO67" s="37">
        <v>0</v>
      </c>
      <c r="AP67" s="37">
        <v>0</v>
      </c>
      <c r="AQ67" s="37">
        <v>0</v>
      </c>
      <c r="AR67" s="37">
        <v>275</v>
      </c>
      <c r="AS67" s="37">
        <v>90</v>
      </c>
      <c r="AT67" s="37">
        <f t="shared" ref="AT67:AT98" si="10">AS67*G67</f>
        <v>139.5</v>
      </c>
      <c r="AU67" s="47">
        <v>0</v>
      </c>
      <c r="AV67" s="47">
        <v>0</v>
      </c>
      <c r="AW67" s="37">
        <v>0</v>
      </c>
      <c r="AX67" s="37">
        <v>0</v>
      </c>
      <c r="AY67" s="30"/>
      <c r="AZ67" s="30"/>
      <c r="BA67" s="30"/>
      <c r="BB67" s="30"/>
    </row>
    <row r="68" spans="1:54" x14ac:dyDescent="0.25">
      <c r="A68" s="33" t="s">
        <v>61</v>
      </c>
      <c r="B68" s="33" t="s">
        <v>62</v>
      </c>
      <c r="C68" s="41">
        <v>45509</v>
      </c>
      <c r="D68" s="33">
        <v>410117</v>
      </c>
      <c r="E68" s="34" t="s">
        <v>63</v>
      </c>
      <c r="F68" s="33" t="s">
        <v>64</v>
      </c>
      <c r="G68" s="42">
        <v>3.12</v>
      </c>
      <c r="H68" s="33">
        <v>2000</v>
      </c>
      <c r="I68" s="33">
        <f t="shared" si="4"/>
        <v>6240</v>
      </c>
      <c r="J68" s="48">
        <f>WasteShipmentData[[#This Row],[Standardized Volume in lbs]]/2.2</f>
        <v>2836.363636363636</v>
      </c>
      <c r="K68" s="48">
        <f>8*2000</f>
        <v>16000</v>
      </c>
      <c r="L68" s="33" t="s">
        <v>65</v>
      </c>
      <c r="M68" s="33" t="s">
        <v>63</v>
      </c>
      <c r="N68" s="33" t="s">
        <v>66</v>
      </c>
      <c r="O68" s="33" t="s">
        <v>63</v>
      </c>
      <c r="P68" s="33" t="s">
        <v>63</v>
      </c>
      <c r="Q68" s="33" t="s">
        <v>63</v>
      </c>
      <c r="R68" s="33" t="s">
        <v>63</v>
      </c>
      <c r="S68" s="33" t="s">
        <v>77</v>
      </c>
      <c r="T68" s="33" t="s">
        <v>78</v>
      </c>
      <c r="U68" s="33" t="s">
        <v>63</v>
      </c>
      <c r="V68" s="33" t="s">
        <v>69</v>
      </c>
      <c r="W68" s="33" t="s">
        <v>70</v>
      </c>
      <c r="X68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68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68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68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68" s="33" t="s">
        <v>71</v>
      </c>
      <c r="AC68" s="33" t="s">
        <v>72</v>
      </c>
      <c r="AD68" s="33">
        <v>12.3</v>
      </c>
      <c r="AE68" s="33" t="s">
        <v>73</v>
      </c>
      <c r="AF68" s="38" t="s">
        <v>74</v>
      </c>
      <c r="AG68" s="38" t="s">
        <v>75</v>
      </c>
      <c r="AH68" s="33">
        <v>37143</v>
      </c>
      <c r="AI68" s="33" t="s">
        <v>63</v>
      </c>
      <c r="AJ68" s="33" t="s">
        <v>71</v>
      </c>
      <c r="AK68" s="37">
        <v>450.98</v>
      </c>
      <c r="AL68" s="37">
        <v>108.58</v>
      </c>
      <c r="AM68" s="37">
        <f t="shared" si="9"/>
        <v>338.76960000000003</v>
      </c>
      <c r="AN68" s="37">
        <v>0</v>
      </c>
      <c r="AO68" s="37">
        <v>0</v>
      </c>
      <c r="AP68" s="37">
        <v>0</v>
      </c>
      <c r="AQ68" s="37">
        <v>0</v>
      </c>
      <c r="AR68" s="37">
        <v>275</v>
      </c>
      <c r="AS68" s="37">
        <v>90</v>
      </c>
      <c r="AT68" s="37">
        <f t="shared" si="10"/>
        <v>280.8</v>
      </c>
      <c r="AU68" s="47">
        <v>0</v>
      </c>
      <c r="AV68" s="47">
        <v>0</v>
      </c>
      <c r="AW68" s="37">
        <v>0</v>
      </c>
      <c r="AX68" s="37">
        <v>0</v>
      </c>
      <c r="AY68" s="30"/>
      <c r="AZ68" s="30"/>
      <c r="BA68" s="30"/>
      <c r="BB68" s="30"/>
    </row>
    <row r="69" spans="1:54" x14ac:dyDescent="0.25">
      <c r="A69" s="33" t="s">
        <v>79</v>
      </c>
      <c r="B69" s="33" t="s">
        <v>80</v>
      </c>
      <c r="C69" s="39">
        <v>45510</v>
      </c>
      <c r="D69" s="33">
        <v>410120</v>
      </c>
      <c r="E69" s="34" t="s">
        <v>63</v>
      </c>
      <c r="F69" s="33" t="s">
        <v>64</v>
      </c>
      <c r="G69" s="33">
        <v>10.15</v>
      </c>
      <c r="H69" s="33">
        <v>2000</v>
      </c>
      <c r="I69" s="33">
        <f t="shared" si="4"/>
        <v>20300</v>
      </c>
      <c r="J69" s="48">
        <f>WasteShipmentData[[#This Row],[Standardized Volume in lbs]]/2.2</f>
        <v>9227.2727272727261</v>
      </c>
      <c r="K69" s="48">
        <f>8*2000</f>
        <v>16000</v>
      </c>
      <c r="L69" s="33" t="s">
        <v>65</v>
      </c>
      <c r="M69" s="33" t="s">
        <v>63</v>
      </c>
      <c r="N69" s="33" t="s">
        <v>66</v>
      </c>
      <c r="O69" s="33" t="s">
        <v>63</v>
      </c>
      <c r="P69" s="33" t="s">
        <v>63</v>
      </c>
      <c r="Q69" s="33" t="s">
        <v>63</v>
      </c>
      <c r="R69" s="33" t="s">
        <v>63</v>
      </c>
      <c r="S69" s="33" t="s">
        <v>67</v>
      </c>
      <c r="T69" s="33" t="s">
        <v>68</v>
      </c>
      <c r="U69" s="33" t="s">
        <v>63</v>
      </c>
      <c r="V69" s="33" t="s">
        <v>69</v>
      </c>
      <c r="W69" s="33" t="s">
        <v>70</v>
      </c>
      <c r="X69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69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69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69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69" s="33" t="s">
        <v>71</v>
      </c>
      <c r="AC69" s="33" t="s">
        <v>72</v>
      </c>
      <c r="AD69" s="33">
        <v>12.3</v>
      </c>
      <c r="AE69" s="33" t="s">
        <v>73</v>
      </c>
      <c r="AF69" s="38" t="s">
        <v>74</v>
      </c>
      <c r="AG69" s="38" t="s">
        <v>75</v>
      </c>
      <c r="AH69" s="33">
        <v>37143</v>
      </c>
      <c r="AI69" s="33" t="s">
        <v>63</v>
      </c>
      <c r="AJ69" s="33" t="s">
        <v>71</v>
      </c>
      <c r="AK69" s="37">
        <v>717.46</v>
      </c>
      <c r="AL69" s="37">
        <v>80.709999999999994</v>
      </c>
      <c r="AM69" s="37">
        <f t="shared" si="9"/>
        <v>819.20650000000001</v>
      </c>
      <c r="AN69" s="37">
        <v>0</v>
      </c>
      <c r="AO69" s="37">
        <v>0</v>
      </c>
      <c r="AP69" s="37">
        <v>0</v>
      </c>
      <c r="AQ69" s="37">
        <v>122.97</v>
      </c>
      <c r="AR69" s="37">
        <v>400</v>
      </c>
      <c r="AS69" s="37">
        <v>45</v>
      </c>
      <c r="AT69" s="37">
        <f t="shared" si="10"/>
        <v>456.75</v>
      </c>
      <c r="AU69" s="47">
        <v>0</v>
      </c>
      <c r="AV69" s="47">
        <v>0</v>
      </c>
      <c r="AW69" s="37">
        <v>0</v>
      </c>
      <c r="AX69" s="37">
        <v>75</v>
      </c>
      <c r="AY69" s="30"/>
      <c r="AZ69" s="30"/>
      <c r="BA69" s="30"/>
      <c r="BB69" s="30"/>
    </row>
    <row r="70" spans="1:54" x14ac:dyDescent="0.25">
      <c r="A70" s="33" t="s">
        <v>90</v>
      </c>
      <c r="B70" s="33" t="s">
        <v>91</v>
      </c>
      <c r="C70" s="34">
        <v>45511</v>
      </c>
      <c r="D70" s="33">
        <v>410124</v>
      </c>
      <c r="E70" s="34">
        <v>45538</v>
      </c>
      <c r="F70" s="33" t="s">
        <v>93</v>
      </c>
      <c r="G70" s="44">
        <v>7</v>
      </c>
      <c r="H70" s="33">
        <v>550</v>
      </c>
      <c r="I70" s="33">
        <f>WasteShipmentData[[#This Row],[Weight in lbs per unit]]*WasteShipmentData[[#This Row],[Qty]]</f>
        <v>3850</v>
      </c>
      <c r="J70" s="48">
        <f>WasteShipmentData[[#This Row],[Standardized Volume in lbs]]/2.2</f>
        <v>1749.9999999999998</v>
      </c>
      <c r="K70" s="48">
        <v>550</v>
      </c>
      <c r="L70" s="33" t="s">
        <v>65</v>
      </c>
      <c r="M70" s="33" t="s">
        <v>63</v>
      </c>
      <c r="N70" s="33" t="s">
        <v>83</v>
      </c>
      <c r="O70" s="33" t="s">
        <v>63</v>
      </c>
      <c r="P70" s="33" t="s">
        <v>63</v>
      </c>
      <c r="Q70" s="33" t="s">
        <v>63</v>
      </c>
      <c r="R70" s="33" t="s">
        <v>63</v>
      </c>
      <c r="S70" s="33" t="s">
        <v>94</v>
      </c>
      <c r="T70" s="33" t="s">
        <v>68</v>
      </c>
      <c r="U70" s="33">
        <v>41590</v>
      </c>
      <c r="V70" s="33" t="s">
        <v>69</v>
      </c>
      <c r="W70" s="33" t="s">
        <v>70</v>
      </c>
      <c r="X70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70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70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70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70" s="33" t="s">
        <v>95</v>
      </c>
      <c r="AC70" s="33" t="s">
        <v>95</v>
      </c>
      <c r="AD70" s="33">
        <v>26.9</v>
      </c>
      <c r="AE70" s="33" t="s">
        <v>96</v>
      </c>
      <c r="AF70" s="38" t="s">
        <v>97</v>
      </c>
      <c r="AG70" s="38" t="s">
        <v>75</v>
      </c>
      <c r="AH70" s="33">
        <v>37210</v>
      </c>
      <c r="AI70" s="38" t="s">
        <v>98</v>
      </c>
      <c r="AJ70" s="38"/>
      <c r="AK70" s="37">
        <v>0</v>
      </c>
      <c r="AL70" s="37">
        <v>1334.03</v>
      </c>
      <c r="AM70" s="37">
        <f t="shared" si="9"/>
        <v>9338.2099999999991</v>
      </c>
      <c r="AN70" s="37">
        <v>0</v>
      </c>
      <c r="AO70" s="37">
        <v>0</v>
      </c>
      <c r="AP70" s="37">
        <v>0</v>
      </c>
      <c r="AQ70" s="37">
        <v>0</v>
      </c>
      <c r="AR70" s="37">
        <v>0</v>
      </c>
      <c r="AS70" s="37"/>
      <c r="AT70" s="37">
        <f t="shared" si="10"/>
        <v>0</v>
      </c>
      <c r="AU70" s="47">
        <v>0</v>
      </c>
      <c r="AV70" s="47">
        <v>0</v>
      </c>
      <c r="AW70" s="37">
        <v>0</v>
      </c>
      <c r="AX70" s="37">
        <v>0</v>
      </c>
      <c r="AY70" s="30"/>
      <c r="AZ70" s="30"/>
      <c r="BA70" s="30"/>
      <c r="BB70" s="30"/>
    </row>
    <row r="71" spans="1:54" x14ac:dyDescent="0.25">
      <c r="A71" s="33" t="s">
        <v>99</v>
      </c>
      <c r="B71" s="33" t="s">
        <v>91</v>
      </c>
      <c r="C71" s="34">
        <v>45511</v>
      </c>
      <c r="D71" s="33">
        <v>410121</v>
      </c>
      <c r="E71" s="34">
        <v>45538</v>
      </c>
      <c r="F71" s="33" t="s">
        <v>93</v>
      </c>
      <c r="G71" s="44">
        <v>12</v>
      </c>
      <c r="H71" s="33">
        <v>420</v>
      </c>
      <c r="I71" s="33">
        <f>WasteShipmentData[[#This Row],[Weight in lbs per unit]]*WasteShipmentData[[#This Row],[Qty]]</f>
        <v>5040</v>
      </c>
      <c r="J71" s="48">
        <f>WasteShipmentData[[#This Row],[Standardized Volume in lbs]]/2.2</f>
        <v>2290.9090909090905</v>
      </c>
      <c r="K71" s="48">
        <v>420</v>
      </c>
      <c r="L71" s="33" t="s">
        <v>100</v>
      </c>
      <c r="M71" s="33" t="s">
        <v>101</v>
      </c>
      <c r="N71" s="33" t="s">
        <v>102</v>
      </c>
      <c r="O71" s="33" t="s">
        <v>103</v>
      </c>
      <c r="P71" s="36" t="s">
        <v>104</v>
      </c>
      <c r="Q71" s="33" t="s">
        <v>105</v>
      </c>
      <c r="R71" s="33" t="s">
        <v>106</v>
      </c>
      <c r="S71" s="33" t="s">
        <v>94</v>
      </c>
      <c r="T71" s="33" t="s">
        <v>68</v>
      </c>
      <c r="U71" s="33">
        <v>41587</v>
      </c>
      <c r="V71" s="33" t="s">
        <v>69</v>
      </c>
      <c r="W71" s="33" t="s">
        <v>70</v>
      </c>
      <c r="X71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71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71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71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71" s="33" t="s">
        <v>95</v>
      </c>
      <c r="AC71" s="33" t="s">
        <v>95</v>
      </c>
      <c r="AD71" s="33">
        <v>26.9</v>
      </c>
      <c r="AE71" s="33" t="s">
        <v>96</v>
      </c>
      <c r="AF71" s="38" t="s">
        <v>97</v>
      </c>
      <c r="AG71" s="38" t="s">
        <v>75</v>
      </c>
      <c r="AH71" s="33">
        <v>37210</v>
      </c>
      <c r="AI71" s="38" t="s">
        <v>98</v>
      </c>
      <c r="AJ71" s="38"/>
      <c r="AK71" s="37">
        <v>30</v>
      </c>
      <c r="AL71" s="37">
        <v>125</v>
      </c>
      <c r="AM71" s="37">
        <f t="shared" si="9"/>
        <v>1500</v>
      </c>
      <c r="AN71" s="37">
        <v>0</v>
      </c>
      <c r="AO71" s="37">
        <v>0</v>
      </c>
      <c r="AP71" s="37">
        <v>0</v>
      </c>
      <c r="AQ71" s="37">
        <v>0</v>
      </c>
      <c r="AR71" s="37">
        <v>0</v>
      </c>
      <c r="AS71" s="37"/>
      <c r="AT71" s="37">
        <f t="shared" si="10"/>
        <v>0</v>
      </c>
      <c r="AU71" s="47">
        <v>0</v>
      </c>
      <c r="AV71" s="47">
        <v>0</v>
      </c>
      <c r="AW71" s="37">
        <v>0</v>
      </c>
      <c r="AX71" s="37">
        <v>0</v>
      </c>
      <c r="AY71" s="30"/>
      <c r="AZ71" s="30"/>
      <c r="BA71" s="30"/>
      <c r="BB71" s="30"/>
    </row>
    <row r="72" spans="1:54" x14ac:dyDescent="0.25">
      <c r="A72" s="33" t="s">
        <v>107</v>
      </c>
      <c r="B72" s="33" t="s">
        <v>91</v>
      </c>
      <c r="C72" s="34">
        <v>45511</v>
      </c>
      <c r="D72" s="33">
        <v>410122</v>
      </c>
      <c r="E72" s="34">
        <v>45538</v>
      </c>
      <c r="F72" s="33" t="s">
        <v>93</v>
      </c>
      <c r="G72" s="44">
        <v>4</v>
      </c>
      <c r="H72" s="33">
        <v>420</v>
      </c>
      <c r="I72" s="33">
        <f>WasteShipmentData[[#This Row],[Weight in lbs per unit]]*WasteShipmentData[[#This Row],[Qty]]</f>
        <v>1680</v>
      </c>
      <c r="J72" s="48">
        <f>WasteShipmentData[[#This Row],[Standardized Volume in lbs]]/2.2</f>
        <v>763.63636363636363</v>
      </c>
      <c r="K72" s="48">
        <v>420</v>
      </c>
      <c r="L72" s="33" t="s">
        <v>100</v>
      </c>
      <c r="M72" s="33" t="s">
        <v>101</v>
      </c>
      <c r="N72" s="33" t="s">
        <v>102</v>
      </c>
      <c r="O72" s="33" t="s">
        <v>103</v>
      </c>
      <c r="P72" s="36" t="s">
        <v>104</v>
      </c>
      <c r="Q72" s="33" t="s">
        <v>105</v>
      </c>
      <c r="R72" s="33" t="s">
        <v>106</v>
      </c>
      <c r="S72" s="33" t="s">
        <v>94</v>
      </c>
      <c r="T72" s="33" t="s">
        <v>68</v>
      </c>
      <c r="U72" s="33">
        <v>41588</v>
      </c>
      <c r="V72" s="33" t="s">
        <v>69</v>
      </c>
      <c r="W72" s="33" t="s">
        <v>70</v>
      </c>
      <c r="X72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72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72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72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72" s="33" t="s">
        <v>95</v>
      </c>
      <c r="AC72" s="33" t="s">
        <v>95</v>
      </c>
      <c r="AD72" s="33">
        <v>26.9</v>
      </c>
      <c r="AE72" s="33" t="s">
        <v>96</v>
      </c>
      <c r="AF72" s="38" t="s">
        <v>97</v>
      </c>
      <c r="AG72" s="38" t="s">
        <v>75</v>
      </c>
      <c r="AH72" s="33">
        <v>37210</v>
      </c>
      <c r="AI72" s="38" t="s">
        <v>98</v>
      </c>
      <c r="AJ72" s="38"/>
      <c r="AK72" s="37">
        <v>30</v>
      </c>
      <c r="AL72" s="37">
        <v>125</v>
      </c>
      <c r="AM72" s="37">
        <f t="shared" si="9"/>
        <v>500</v>
      </c>
      <c r="AN72" s="37">
        <v>0</v>
      </c>
      <c r="AO72" s="37">
        <v>0</v>
      </c>
      <c r="AP72" s="37">
        <v>0</v>
      </c>
      <c r="AQ72" s="37">
        <v>0</v>
      </c>
      <c r="AR72" s="37">
        <v>0</v>
      </c>
      <c r="AS72" s="37"/>
      <c r="AT72" s="37">
        <f t="shared" si="10"/>
        <v>0</v>
      </c>
      <c r="AU72" s="47">
        <v>0</v>
      </c>
      <c r="AV72" s="47">
        <v>0</v>
      </c>
      <c r="AW72" s="37">
        <v>0</v>
      </c>
      <c r="AX72" s="37">
        <v>0</v>
      </c>
      <c r="AY72" s="30"/>
      <c r="AZ72" s="30"/>
      <c r="BA72" s="30"/>
      <c r="BB72" s="30"/>
    </row>
    <row r="73" spans="1:54" x14ac:dyDescent="0.25">
      <c r="A73" s="33" t="s">
        <v>108</v>
      </c>
      <c r="B73" s="33" t="s">
        <v>91</v>
      </c>
      <c r="C73" s="34">
        <v>45511</v>
      </c>
      <c r="D73" s="33">
        <v>410123</v>
      </c>
      <c r="E73" s="34">
        <v>45538</v>
      </c>
      <c r="F73" s="33" t="s">
        <v>93</v>
      </c>
      <c r="G73" s="44">
        <v>2</v>
      </c>
      <c r="H73" s="33">
        <v>300</v>
      </c>
      <c r="I73" s="33">
        <f>WasteShipmentData[[#This Row],[Weight in lbs per unit]]*WasteShipmentData[[#This Row],[Qty]]</f>
        <v>600</v>
      </c>
      <c r="J73" s="48">
        <f>WasteShipmentData[[#This Row],[Standardized Volume in lbs]]/2.2</f>
        <v>272.72727272727269</v>
      </c>
      <c r="K73" s="48">
        <v>2000</v>
      </c>
      <c r="L73" s="33" t="s">
        <v>100</v>
      </c>
      <c r="M73" s="33" t="s">
        <v>101</v>
      </c>
      <c r="N73" s="33" t="s">
        <v>102</v>
      </c>
      <c r="O73" s="33" t="s">
        <v>103</v>
      </c>
      <c r="P73" s="36" t="s">
        <v>104</v>
      </c>
      <c r="Q73" s="33" t="s">
        <v>105</v>
      </c>
      <c r="R73" s="33" t="s">
        <v>106</v>
      </c>
      <c r="S73" s="33" t="s">
        <v>94</v>
      </c>
      <c r="T73" s="33" t="s">
        <v>68</v>
      </c>
      <c r="U73" s="33">
        <v>41589</v>
      </c>
      <c r="V73" s="33" t="s">
        <v>69</v>
      </c>
      <c r="W73" s="33" t="s">
        <v>70</v>
      </c>
      <c r="X73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73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73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73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73" s="33" t="s">
        <v>95</v>
      </c>
      <c r="AC73" s="33" t="s">
        <v>95</v>
      </c>
      <c r="AD73" s="33">
        <v>26.9</v>
      </c>
      <c r="AE73" s="33" t="s">
        <v>96</v>
      </c>
      <c r="AF73" s="38" t="s">
        <v>97</v>
      </c>
      <c r="AG73" s="38" t="s">
        <v>75</v>
      </c>
      <c r="AH73" s="33">
        <v>37210</v>
      </c>
      <c r="AI73" s="38" t="s">
        <v>98</v>
      </c>
      <c r="AJ73" s="38"/>
      <c r="AK73" s="37">
        <v>30</v>
      </c>
      <c r="AL73" s="37">
        <v>425</v>
      </c>
      <c r="AM73" s="37">
        <f t="shared" si="9"/>
        <v>850</v>
      </c>
      <c r="AN73" s="37">
        <v>0</v>
      </c>
      <c r="AO73" s="37">
        <v>0</v>
      </c>
      <c r="AP73" s="37">
        <v>0</v>
      </c>
      <c r="AQ73" s="37">
        <v>0</v>
      </c>
      <c r="AR73" s="37">
        <v>0</v>
      </c>
      <c r="AS73" s="37"/>
      <c r="AT73" s="37">
        <f t="shared" si="10"/>
        <v>0</v>
      </c>
      <c r="AU73" s="47">
        <v>0</v>
      </c>
      <c r="AV73" s="47">
        <v>0</v>
      </c>
      <c r="AW73" s="37">
        <v>0</v>
      </c>
      <c r="AX73" s="37">
        <v>0</v>
      </c>
      <c r="AY73" s="30"/>
      <c r="AZ73" s="30"/>
      <c r="BA73" s="30"/>
      <c r="BB73" s="30"/>
    </row>
    <row r="74" spans="1:54" x14ac:dyDescent="0.25">
      <c r="A74" s="33" t="s">
        <v>79</v>
      </c>
      <c r="B74" s="33" t="s">
        <v>80</v>
      </c>
      <c r="C74" s="41">
        <v>45512</v>
      </c>
      <c r="D74" s="33">
        <v>410125</v>
      </c>
      <c r="E74" s="34" t="s">
        <v>63</v>
      </c>
      <c r="F74" s="33" t="s">
        <v>64</v>
      </c>
      <c r="G74" s="42">
        <v>9.66</v>
      </c>
      <c r="H74" s="33">
        <v>2000</v>
      </c>
      <c r="I74" s="33">
        <f t="shared" ref="I74:I111" si="11">G74*2000</f>
        <v>19320</v>
      </c>
      <c r="J74" s="48">
        <f>WasteShipmentData[[#This Row],[Standardized Volume in lbs]]/2.2</f>
        <v>8781.818181818182</v>
      </c>
      <c r="K74" s="48">
        <f>8*2000</f>
        <v>16000</v>
      </c>
      <c r="L74" s="33" t="s">
        <v>65</v>
      </c>
      <c r="M74" s="33" t="s">
        <v>63</v>
      </c>
      <c r="N74" s="33" t="s">
        <v>66</v>
      </c>
      <c r="O74" s="33" t="s">
        <v>63</v>
      </c>
      <c r="P74" s="33" t="s">
        <v>63</v>
      </c>
      <c r="Q74" s="33" t="s">
        <v>63</v>
      </c>
      <c r="R74" s="33" t="s">
        <v>63</v>
      </c>
      <c r="S74" s="33" t="s">
        <v>67</v>
      </c>
      <c r="T74" s="33" t="s">
        <v>68</v>
      </c>
      <c r="U74" s="33" t="s">
        <v>63</v>
      </c>
      <c r="V74" s="33" t="s">
        <v>69</v>
      </c>
      <c r="W74" s="33" t="s">
        <v>70</v>
      </c>
      <c r="X74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74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74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74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74" s="33" t="s">
        <v>71</v>
      </c>
      <c r="AC74" s="33" t="s">
        <v>72</v>
      </c>
      <c r="AD74" s="33">
        <v>12.3</v>
      </c>
      <c r="AE74" s="33" t="s">
        <v>73</v>
      </c>
      <c r="AF74" s="38" t="s">
        <v>74</v>
      </c>
      <c r="AG74" s="38" t="s">
        <v>75</v>
      </c>
      <c r="AH74" s="33">
        <v>37143</v>
      </c>
      <c r="AI74" s="33" t="s">
        <v>63</v>
      </c>
      <c r="AJ74" s="33" t="s">
        <v>71</v>
      </c>
      <c r="AK74" s="37">
        <v>717.46</v>
      </c>
      <c r="AL74" s="37">
        <v>80.709999999999994</v>
      </c>
      <c r="AM74" s="37">
        <f t="shared" si="9"/>
        <v>779.65859999999998</v>
      </c>
      <c r="AN74" s="37">
        <v>0</v>
      </c>
      <c r="AO74" s="37">
        <v>0</v>
      </c>
      <c r="AP74" s="37">
        <v>0</v>
      </c>
      <c r="AQ74" s="37">
        <v>122.97</v>
      </c>
      <c r="AR74" s="37">
        <v>400</v>
      </c>
      <c r="AS74" s="37">
        <v>45</v>
      </c>
      <c r="AT74" s="37">
        <f t="shared" si="10"/>
        <v>434.7</v>
      </c>
      <c r="AU74" s="47">
        <v>0</v>
      </c>
      <c r="AV74" s="47">
        <v>0</v>
      </c>
      <c r="AW74" s="37">
        <v>0</v>
      </c>
      <c r="AX74" s="37">
        <v>75</v>
      </c>
      <c r="AY74" s="30"/>
      <c r="AZ74" s="30"/>
      <c r="BA74" s="30"/>
      <c r="BB74" s="30"/>
    </row>
    <row r="75" spans="1:54" x14ac:dyDescent="0.25">
      <c r="A75" s="33" t="s">
        <v>61</v>
      </c>
      <c r="B75" s="33" t="s">
        <v>62</v>
      </c>
      <c r="C75" s="41">
        <v>45512</v>
      </c>
      <c r="D75" s="33">
        <v>410128</v>
      </c>
      <c r="E75" s="34" t="s">
        <v>63</v>
      </c>
      <c r="F75" s="33" t="s">
        <v>64</v>
      </c>
      <c r="G75" s="42">
        <v>1.4</v>
      </c>
      <c r="H75" s="33">
        <v>2000</v>
      </c>
      <c r="I75" s="33">
        <f t="shared" si="11"/>
        <v>2800</v>
      </c>
      <c r="J75" s="48">
        <f>WasteShipmentData[[#This Row],[Standardized Volume in lbs]]/2.2</f>
        <v>1272.7272727272725</v>
      </c>
      <c r="K75" s="48">
        <v>2500</v>
      </c>
      <c r="L75" s="33" t="s">
        <v>65</v>
      </c>
      <c r="M75" s="33" t="s">
        <v>63</v>
      </c>
      <c r="N75" s="33" t="s">
        <v>66</v>
      </c>
      <c r="O75" s="33" t="s">
        <v>63</v>
      </c>
      <c r="P75" s="33" t="s">
        <v>63</v>
      </c>
      <c r="Q75" s="33" t="s">
        <v>63</v>
      </c>
      <c r="R75" s="33" t="s">
        <v>63</v>
      </c>
      <c r="S75" s="33" t="s">
        <v>67</v>
      </c>
      <c r="T75" s="33" t="s">
        <v>68</v>
      </c>
      <c r="U75" s="33" t="s">
        <v>63</v>
      </c>
      <c r="V75" s="33" t="s">
        <v>69</v>
      </c>
      <c r="W75" s="33" t="s">
        <v>70</v>
      </c>
      <c r="X75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75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75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75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75" s="33" t="s">
        <v>71</v>
      </c>
      <c r="AC75" s="33" t="s">
        <v>72</v>
      </c>
      <c r="AD75" s="33">
        <v>12.3</v>
      </c>
      <c r="AE75" s="33" t="s">
        <v>73</v>
      </c>
      <c r="AF75" s="38" t="s">
        <v>74</v>
      </c>
      <c r="AG75" s="38" t="s">
        <v>75</v>
      </c>
      <c r="AH75" s="33">
        <v>37143</v>
      </c>
      <c r="AI75" s="33" t="s">
        <v>63</v>
      </c>
      <c r="AJ75" s="33" t="s">
        <v>71</v>
      </c>
      <c r="AK75" s="37">
        <v>450.98</v>
      </c>
      <c r="AL75" s="37">
        <v>108.58</v>
      </c>
      <c r="AM75" s="37">
        <f t="shared" si="9"/>
        <v>152.012</v>
      </c>
      <c r="AN75" s="37">
        <v>0</v>
      </c>
      <c r="AO75" s="37">
        <v>0</v>
      </c>
      <c r="AP75" s="37">
        <v>0</v>
      </c>
      <c r="AQ75" s="37">
        <v>0</v>
      </c>
      <c r="AR75" s="37">
        <v>275</v>
      </c>
      <c r="AS75" s="37">
        <v>90</v>
      </c>
      <c r="AT75" s="37">
        <f t="shared" si="10"/>
        <v>125.99999999999999</v>
      </c>
      <c r="AU75" s="47">
        <v>0</v>
      </c>
      <c r="AV75" s="47">
        <v>0</v>
      </c>
      <c r="AW75" s="37">
        <v>0</v>
      </c>
      <c r="AX75" s="37">
        <v>0</v>
      </c>
      <c r="AY75" s="30"/>
      <c r="AZ75" s="30"/>
      <c r="BA75" s="30"/>
      <c r="BB75" s="30"/>
    </row>
    <row r="76" spans="1:54" x14ac:dyDescent="0.25">
      <c r="A76" s="33" t="s">
        <v>61</v>
      </c>
      <c r="B76" s="33" t="s">
        <v>62</v>
      </c>
      <c r="C76" s="41">
        <v>45512</v>
      </c>
      <c r="D76" s="33">
        <v>410126</v>
      </c>
      <c r="E76" s="34" t="s">
        <v>63</v>
      </c>
      <c r="F76" s="33" t="s">
        <v>64</v>
      </c>
      <c r="G76" s="42">
        <v>5.62</v>
      </c>
      <c r="H76" s="33">
        <v>2000</v>
      </c>
      <c r="I76" s="33">
        <f t="shared" si="11"/>
        <v>11240</v>
      </c>
      <c r="J76" s="48">
        <f>WasteShipmentData[[#This Row],[Standardized Volume in lbs]]/2.2</f>
        <v>5109.090909090909</v>
      </c>
      <c r="K76" s="48">
        <f>8*2000</f>
        <v>16000</v>
      </c>
      <c r="L76" s="33" t="s">
        <v>65</v>
      </c>
      <c r="M76" s="33" t="s">
        <v>63</v>
      </c>
      <c r="N76" s="33" t="s">
        <v>66</v>
      </c>
      <c r="O76" s="33" t="s">
        <v>63</v>
      </c>
      <c r="P76" s="33" t="s">
        <v>63</v>
      </c>
      <c r="Q76" s="33" t="s">
        <v>63</v>
      </c>
      <c r="R76" s="33" t="s">
        <v>63</v>
      </c>
      <c r="S76" s="33" t="s">
        <v>77</v>
      </c>
      <c r="T76" s="33" t="s">
        <v>78</v>
      </c>
      <c r="U76" s="33" t="s">
        <v>63</v>
      </c>
      <c r="V76" s="33" t="s">
        <v>69</v>
      </c>
      <c r="W76" s="33" t="s">
        <v>70</v>
      </c>
      <c r="X76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76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76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76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76" s="33" t="s">
        <v>71</v>
      </c>
      <c r="AC76" s="33" t="s">
        <v>72</v>
      </c>
      <c r="AD76" s="33">
        <v>12.3</v>
      </c>
      <c r="AE76" s="33" t="s">
        <v>73</v>
      </c>
      <c r="AF76" s="38" t="s">
        <v>74</v>
      </c>
      <c r="AG76" s="38" t="s">
        <v>75</v>
      </c>
      <c r="AH76" s="33">
        <v>37143</v>
      </c>
      <c r="AI76" s="33" t="s">
        <v>63</v>
      </c>
      <c r="AJ76" s="33" t="s">
        <v>71</v>
      </c>
      <c r="AK76" s="37">
        <v>450.98</v>
      </c>
      <c r="AL76" s="37">
        <v>108.58</v>
      </c>
      <c r="AM76" s="37">
        <f t="shared" si="9"/>
        <v>610.21960000000001</v>
      </c>
      <c r="AN76" s="37">
        <v>0</v>
      </c>
      <c r="AO76" s="37">
        <v>0</v>
      </c>
      <c r="AP76" s="37">
        <v>0</v>
      </c>
      <c r="AQ76" s="37">
        <v>0</v>
      </c>
      <c r="AR76" s="37">
        <v>275</v>
      </c>
      <c r="AS76" s="37">
        <v>90</v>
      </c>
      <c r="AT76" s="37">
        <f t="shared" si="10"/>
        <v>505.8</v>
      </c>
      <c r="AU76" s="47">
        <v>0</v>
      </c>
      <c r="AV76" s="47">
        <v>0</v>
      </c>
      <c r="AW76" s="37">
        <v>0</v>
      </c>
      <c r="AX76" s="37">
        <v>0</v>
      </c>
      <c r="AY76" s="30"/>
      <c r="AZ76" s="30"/>
      <c r="BA76" s="30"/>
      <c r="BB76" s="30"/>
    </row>
    <row r="77" spans="1:54" x14ac:dyDescent="0.25">
      <c r="A77" s="33" t="s">
        <v>61</v>
      </c>
      <c r="B77" s="33" t="s">
        <v>62</v>
      </c>
      <c r="C77" s="41">
        <v>45512</v>
      </c>
      <c r="D77" s="33">
        <v>410127</v>
      </c>
      <c r="E77" s="34" t="s">
        <v>63</v>
      </c>
      <c r="F77" s="33" t="s">
        <v>64</v>
      </c>
      <c r="G77" s="42">
        <v>3.66</v>
      </c>
      <c r="H77" s="33">
        <v>2000</v>
      </c>
      <c r="I77" s="33">
        <f t="shared" si="11"/>
        <v>7320</v>
      </c>
      <c r="J77" s="48">
        <f>WasteShipmentData[[#This Row],[Standardized Volume in lbs]]/2.2</f>
        <v>3327.272727272727</v>
      </c>
      <c r="K77" s="48">
        <f>8*2000</f>
        <v>16000</v>
      </c>
      <c r="L77" s="33" t="s">
        <v>65</v>
      </c>
      <c r="M77" s="33" t="s">
        <v>63</v>
      </c>
      <c r="N77" s="33" t="s">
        <v>66</v>
      </c>
      <c r="O77" s="33" t="s">
        <v>63</v>
      </c>
      <c r="P77" s="33" t="s">
        <v>63</v>
      </c>
      <c r="Q77" s="33" t="s">
        <v>63</v>
      </c>
      <c r="R77" s="33" t="s">
        <v>63</v>
      </c>
      <c r="S77" s="33" t="s">
        <v>77</v>
      </c>
      <c r="T77" s="33" t="s">
        <v>78</v>
      </c>
      <c r="U77" s="33" t="s">
        <v>63</v>
      </c>
      <c r="V77" s="33" t="s">
        <v>69</v>
      </c>
      <c r="W77" s="33" t="s">
        <v>70</v>
      </c>
      <c r="X77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77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77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77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77" s="33" t="s">
        <v>71</v>
      </c>
      <c r="AC77" s="33" t="s">
        <v>72</v>
      </c>
      <c r="AD77" s="33">
        <v>12.3</v>
      </c>
      <c r="AE77" s="33" t="s">
        <v>73</v>
      </c>
      <c r="AF77" s="38" t="s">
        <v>74</v>
      </c>
      <c r="AG77" s="38" t="s">
        <v>75</v>
      </c>
      <c r="AH77" s="33">
        <v>37143</v>
      </c>
      <c r="AI77" s="33" t="s">
        <v>63</v>
      </c>
      <c r="AJ77" s="33" t="s">
        <v>71</v>
      </c>
      <c r="AK77" s="37">
        <v>450.98</v>
      </c>
      <c r="AL77" s="37">
        <v>108.58</v>
      </c>
      <c r="AM77" s="37">
        <f t="shared" si="9"/>
        <v>397.40280000000001</v>
      </c>
      <c r="AN77" s="37">
        <v>0</v>
      </c>
      <c r="AO77" s="37">
        <v>0</v>
      </c>
      <c r="AP77" s="37">
        <v>0</v>
      </c>
      <c r="AQ77" s="37">
        <v>0</v>
      </c>
      <c r="AR77" s="37">
        <v>275</v>
      </c>
      <c r="AS77" s="37">
        <v>90</v>
      </c>
      <c r="AT77" s="37">
        <f t="shared" si="10"/>
        <v>329.40000000000003</v>
      </c>
      <c r="AU77" s="47">
        <v>0</v>
      </c>
      <c r="AV77" s="47">
        <v>0</v>
      </c>
      <c r="AW77" s="37">
        <v>0</v>
      </c>
      <c r="AX77" s="37">
        <v>0</v>
      </c>
      <c r="AY77" s="30"/>
      <c r="AZ77" s="30"/>
      <c r="BA77" s="30"/>
      <c r="BB77" s="30"/>
    </row>
    <row r="78" spans="1:54" x14ac:dyDescent="0.25">
      <c r="A78" s="33" t="s">
        <v>79</v>
      </c>
      <c r="B78" s="33" t="s">
        <v>80</v>
      </c>
      <c r="C78" s="41">
        <v>45513</v>
      </c>
      <c r="D78" s="33">
        <v>410129</v>
      </c>
      <c r="E78" s="34" t="s">
        <v>63</v>
      </c>
      <c r="F78" s="33" t="s">
        <v>64</v>
      </c>
      <c r="G78" s="42">
        <v>9.93</v>
      </c>
      <c r="H78" s="33">
        <v>2000</v>
      </c>
      <c r="I78" s="33">
        <f t="shared" si="11"/>
        <v>19860</v>
      </c>
      <c r="J78" s="48">
        <f>WasteShipmentData[[#This Row],[Standardized Volume in lbs]]/2.2</f>
        <v>9027.2727272727261</v>
      </c>
      <c r="K78" s="48">
        <f>8*2000</f>
        <v>16000</v>
      </c>
      <c r="L78" s="33" t="s">
        <v>65</v>
      </c>
      <c r="M78" s="33" t="s">
        <v>63</v>
      </c>
      <c r="N78" s="33" t="s">
        <v>66</v>
      </c>
      <c r="O78" s="33" t="s">
        <v>63</v>
      </c>
      <c r="P78" s="33" t="s">
        <v>63</v>
      </c>
      <c r="Q78" s="33" t="s">
        <v>63</v>
      </c>
      <c r="R78" s="33" t="s">
        <v>63</v>
      </c>
      <c r="S78" s="33" t="s">
        <v>67</v>
      </c>
      <c r="T78" s="33" t="s">
        <v>68</v>
      </c>
      <c r="U78" s="33" t="s">
        <v>63</v>
      </c>
      <c r="V78" s="33" t="s">
        <v>69</v>
      </c>
      <c r="W78" s="33" t="s">
        <v>70</v>
      </c>
      <c r="X78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78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78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78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78" s="33" t="s">
        <v>71</v>
      </c>
      <c r="AC78" s="33" t="s">
        <v>72</v>
      </c>
      <c r="AD78" s="33">
        <v>12.3</v>
      </c>
      <c r="AE78" s="33" t="s">
        <v>73</v>
      </c>
      <c r="AF78" s="38" t="s">
        <v>74</v>
      </c>
      <c r="AG78" s="38" t="s">
        <v>75</v>
      </c>
      <c r="AH78" s="33">
        <v>37143</v>
      </c>
      <c r="AI78" s="33" t="s">
        <v>63</v>
      </c>
      <c r="AJ78" s="33" t="s">
        <v>71</v>
      </c>
      <c r="AK78" s="37">
        <v>717.46</v>
      </c>
      <c r="AL78" s="37">
        <v>80.709999999999994</v>
      </c>
      <c r="AM78" s="37">
        <f t="shared" si="9"/>
        <v>801.45029999999997</v>
      </c>
      <c r="AN78" s="37">
        <v>0</v>
      </c>
      <c r="AO78" s="37">
        <v>0</v>
      </c>
      <c r="AP78" s="37">
        <v>0</v>
      </c>
      <c r="AQ78" s="37">
        <v>122.97</v>
      </c>
      <c r="AR78" s="37">
        <v>400</v>
      </c>
      <c r="AS78" s="37">
        <v>45</v>
      </c>
      <c r="AT78" s="37">
        <f t="shared" si="10"/>
        <v>446.84999999999997</v>
      </c>
      <c r="AU78" s="47">
        <v>0</v>
      </c>
      <c r="AV78" s="47">
        <v>0</v>
      </c>
      <c r="AW78" s="37">
        <v>0</v>
      </c>
      <c r="AX78" s="37">
        <v>75</v>
      </c>
      <c r="AY78" s="30"/>
      <c r="AZ78" s="30"/>
      <c r="BA78" s="30"/>
      <c r="BB78" s="30"/>
    </row>
    <row r="79" spans="1:54" x14ac:dyDescent="0.25">
      <c r="A79" s="33" t="s">
        <v>61</v>
      </c>
      <c r="B79" s="33" t="s">
        <v>76</v>
      </c>
      <c r="C79" s="41">
        <v>45516</v>
      </c>
      <c r="D79" s="33">
        <v>410132</v>
      </c>
      <c r="E79" s="34" t="s">
        <v>63</v>
      </c>
      <c r="F79" s="33" t="s">
        <v>64</v>
      </c>
      <c r="G79" s="42">
        <v>1.88</v>
      </c>
      <c r="H79" s="33">
        <v>2000</v>
      </c>
      <c r="I79" s="33">
        <f t="shared" si="11"/>
        <v>3760</v>
      </c>
      <c r="J79" s="48">
        <f>WasteShipmentData[[#This Row],[Standardized Volume in lbs]]/2.2</f>
        <v>1709.090909090909</v>
      </c>
      <c r="K79" s="48">
        <v>2500</v>
      </c>
      <c r="L79" s="33" t="s">
        <v>65</v>
      </c>
      <c r="M79" s="33" t="s">
        <v>63</v>
      </c>
      <c r="N79" s="33" t="s">
        <v>66</v>
      </c>
      <c r="O79" s="33" t="s">
        <v>63</v>
      </c>
      <c r="P79" s="33" t="s">
        <v>63</v>
      </c>
      <c r="Q79" s="33" t="s">
        <v>63</v>
      </c>
      <c r="R79" s="33" t="s">
        <v>63</v>
      </c>
      <c r="S79" s="33" t="s">
        <v>67</v>
      </c>
      <c r="T79" s="33" t="s">
        <v>68</v>
      </c>
      <c r="U79" s="33" t="s">
        <v>63</v>
      </c>
      <c r="V79" s="33" t="s">
        <v>69</v>
      </c>
      <c r="W79" s="33" t="s">
        <v>70</v>
      </c>
      <c r="X79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79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79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79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79" s="33" t="s">
        <v>71</v>
      </c>
      <c r="AC79" s="33" t="s">
        <v>72</v>
      </c>
      <c r="AD79" s="33">
        <v>12.3</v>
      </c>
      <c r="AE79" s="33" t="s">
        <v>73</v>
      </c>
      <c r="AF79" s="38" t="s">
        <v>74</v>
      </c>
      <c r="AG79" s="38" t="s">
        <v>75</v>
      </c>
      <c r="AH79" s="33">
        <v>37143</v>
      </c>
      <c r="AI79" s="33" t="s">
        <v>63</v>
      </c>
      <c r="AJ79" s="33" t="s">
        <v>71</v>
      </c>
      <c r="AK79" s="37">
        <v>450.98</v>
      </c>
      <c r="AL79" s="37">
        <v>108.58</v>
      </c>
      <c r="AM79" s="37">
        <f t="shared" si="9"/>
        <v>204.13039999999998</v>
      </c>
      <c r="AN79" s="37">
        <v>0</v>
      </c>
      <c r="AO79" s="37">
        <v>0</v>
      </c>
      <c r="AP79" s="37">
        <v>0</v>
      </c>
      <c r="AQ79" s="37">
        <v>0</v>
      </c>
      <c r="AR79" s="37">
        <v>275</v>
      </c>
      <c r="AS79" s="37">
        <v>90</v>
      </c>
      <c r="AT79" s="37">
        <f t="shared" si="10"/>
        <v>169.2</v>
      </c>
      <c r="AU79" s="47">
        <v>0</v>
      </c>
      <c r="AV79" s="47">
        <v>0</v>
      </c>
      <c r="AW79" s="37">
        <v>0</v>
      </c>
      <c r="AX79" s="37">
        <v>0</v>
      </c>
      <c r="AY79" s="30"/>
      <c r="AZ79" s="30"/>
      <c r="BA79" s="30"/>
      <c r="BB79" s="30"/>
    </row>
    <row r="80" spans="1:54" x14ac:dyDescent="0.25">
      <c r="A80" s="33" t="s">
        <v>61</v>
      </c>
      <c r="B80" s="33" t="s">
        <v>62</v>
      </c>
      <c r="C80" s="41">
        <v>45516</v>
      </c>
      <c r="D80" s="33">
        <v>410130</v>
      </c>
      <c r="E80" s="34" t="s">
        <v>63</v>
      </c>
      <c r="F80" s="33" t="s">
        <v>64</v>
      </c>
      <c r="G80" s="42">
        <v>1.05</v>
      </c>
      <c r="H80" s="33">
        <v>2000</v>
      </c>
      <c r="I80" s="33">
        <f t="shared" si="11"/>
        <v>2100</v>
      </c>
      <c r="J80" s="48">
        <f>WasteShipmentData[[#This Row],[Standardized Volume in lbs]]/2.2</f>
        <v>954.5454545454545</v>
      </c>
      <c r="K80" s="48">
        <f t="shared" ref="K80:K87" si="12">8*2000</f>
        <v>16000</v>
      </c>
      <c r="L80" s="33" t="s">
        <v>65</v>
      </c>
      <c r="M80" s="33" t="s">
        <v>63</v>
      </c>
      <c r="N80" s="33" t="s">
        <v>66</v>
      </c>
      <c r="O80" s="33" t="s">
        <v>63</v>
      </c>
      <c r="P80" s="33" t="s">
        <v>63</v>
      </c>
      <c r="Q80" s="33" t="s">
        <v>63</v>
      </c>
      <c r="R80" s="33" t="s">
        <v>63</v>
      </c>
      <c r="S80" s="33" t="s">
        <v>77</v>
      </c>
      <c r="T80" s="33" t="s">
        <v>78</v>
      </c>
      <c r="U80" s="33" t="s">
        <v>63</v>
      </c>
      <c r="V80" s="33" t="s">
        <v>69</v>
      </c>
      <c r="W80" s="33" t="s">
        <v>70</v>
      </c>
      <c r="X80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80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80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80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80" s="33" t="s">
        <v>71</v>
      </c>
      <c r="AC80" s="33" t="s">
        <v>72</v>
      </c>
      <c r="AD80" s="33">
        <v>12.3</v>
      </c>
      <c r="AE80" s="33" t="s">
        <v>73</v>
      </c>
      <c r="AF80" s="38" t="s">
        <v>74</v>
      </c>
      <c r="AG80" s="38" t="s">
        <v>75</v>
      </c>
      <c r="AH80" s="33">
        <v>37143</v>
      </c>
      <c r="AI80" s="33" t="s">
        <v>63</v>
      </c>
      <c r="AJ80" s="33" t="s">
        <v>71</v>
      </c>
      <c r="AK80" s="37">
        <v>450.98</v>
      </c>
      <c r="AL80" s="37">
        <v>108.58</v>
      </c>
      <c r="AM80" s="37">
        <f t="shared" si="9"/>
        <v>114.009</v>
      </c>
      <c r="AN80" s="37">
        <v>0</v>
      </c>
      <c r="AO80" s="37">
        <v>0</v>
      </c>
      <c r="AP80" s="37">
        <v>0</v>
      </c>
      <c r="AQ80" s="37">
        <v>0</v>
      </c>
      <c r="AR80" s="37">
        <v>275</v>
      </c>
      <c r="AS80" s="37">
        <v>90</v>
      </c>
      <c r="AT80" s="37">
        <f t="shared" si="10"/>
        <v>94.5</v>
      </c>
      <c r="AU80" s="47">
        <v>0</v>
      </c>
      <c r="AV80" s="47">
        <v>0</v>
      </c>
      <c r="AW80" s="37">
        <v>0</v>
      </c>
      <c r="AX80" s="37">
        <v>0</v>
      </c>
      <c r="AY80" s="30"/>
      <c r="AZ80" s="30"/>
      <c r="BA80" s="30"/>
      <c r="BB80" s="30"/>
    </row>
    <row r="81" spans="1:54" x14ac:dyDescent="0.25">
      <c r="A81" s="33" t="s">
        <v>61</v>
      </c>
      <c r="B81" s="33" t="s">
        <v>62</v>
      </c>
      <c r="C81" s="41">
        <v>45516</v>
      </c>
      <c r="D81" s="33">
        <v>410131</v>
      </c>
      <c r="E81" s="34" t="s">
        <v>63</v>
      </c>
      <c r="F81" s="33" t="s">
        <v>64</v>
      </c>
      <c r="G81" s="42">
        <v>2.7</v>
      </c>
      <c r="H81" s="33">
        <v>2000</v>
      </c>
      <c r="I81" s="33">
        <f t="shared" si="11"/>
        <v>5400</v>
      </c>
      <c r="J81" s="48">
        <f>WasteShipmentData[[#This Row],[Standardized Volume in lbs]]/2.2</f>
        <v>2454.5454545454545</v>
      </c>
      <c r="K81" s="48">
        <f t="shared" si="12"/>
        <v>16000</v>
      </c>
      <c r="L81" s="33" t="s">
        <v>65</v>
      </c>
      <c r="M81" s="33" t="s">
        <v>63</v>
      </c>
      <c r="N81" s="33" t="s">
        <v>66</v>
      </c>
      <c r="O81" s="33" t="s">
        <v>63</v>
      </c>
      <c r="P81" s="33" t="s">
        <v>63</v>
      </c>
      <c r="Q81" s="33" t="s">
        <v>63</v>
      </c>
      <c r="R81" s="33" t="s">
        <v>63</v>
      </c>
      <c r="S81" s="33" t="s">
        <v>77</v>
      </c>
      <c r="T81" s="33" t="s">
        <v>78</v>
      </c>
      <c r="U81" s="33" t="s">
        <v>63</v>
      </c>
      <c r="V81" s="33" t="s">
        <v>69</v>
      </c>
      <c r="W81" s="33" t="s">
        <v>70</v>
      </c>
      <c r="X81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81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81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81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81" s="33" t="s">
        <v>71</v>
      </c>
      <c r="AC81" s="33" t="s">
        <v>72</v>
      </c>
      <c r="AD81" s="33">
        <v>12.3</v>
      </c>
      <c r="AE81" s="33" t="s">
        <v>73</v>
      </c>
      <c r="AF81" s="38" t="s">
        <v>74</v>
      </c>
      <c r="AG81" s="38" t="s">
        <v>75</v>
      </c>
      <c r="AH81" s="33">
        <v>37143</v>
      </c>
      <c r="AI81" s="33" t="s">
        <v>63</v>
      </c>
      <c r="AJ81" s="33" t="s">
        <v>71</v>
      </c>
      <c r="AK81" s="37">
        <v>450.98</v>
      </c>
      <c r="AL81" s="37">
        <v>108.58</v>
      </c>
      <c r="AM81" s="37">
        <f t="shared" si="9"/>
        <v>293.166</v>
      </c>
      <c r="AN81" s="37">
        <v>0</v>
      </c>
      <c r="AO81" s="37">
        <v>0</v>
      </c>
      <c r="AP81" s="37">
        <v>0</v>
      </c>
      <c r="AQ81" s="37">
        <v>0</v>
      </c>
      <c r="AR81" s="37">
        <v>275</v>
      </c>
      <c r="AS81" s="37">
        <v>90</v>
      </c>
      <c r="AT81" s="37">
        <f t="shared" si="10"/>
        <v>243.00000000000003</v>
      </c>
      <c r="AU81" s="47">
        <v>0</v>
      </c>
      <c r="AV81" s="47">
        <v>0</v>
      </c>
      <c r="AW81" s="37">
        <v>0</v>
      </c>
      <c r="AX81" s="37">
        <v>0</v>
      </c>
      <c r="AY81" s="30"/>
      <c r="AZ81" s="30"/>
      <c r="BA81" s="30"/>
      <c r="BB81" s="30"/>
    </row>
    <row r="82" spans="1:54" x14ac:dyDescent="0.25">
      <c r="A82" s="33" t="s">
        <v>82</v>
      </c>
      <c r="B82" s="33" t="s">
        <v>76</v>
      </c>
      <c r="C82" s="39">
        <v>45516</v>
      </c>
      <c r="D82" s="33">
        <v>410133</v>
      </c>
      <c r="E82" s="34" t="s">
        <v>63</v>
      </c>
      <c r="F82" s="33" t="s">
        <v>64</v>
      </c>
      <c r="G82" s="33">
        <v>11.93</v>
      </c>
      <c r="H82" s="33">
        <v>2000</v>
      </c>
      <c r="I82" s="33">
        <f t="shared" si="11"/>
        <v>23860</v>
      </c>
      <c r="J82" s="48">
        <f>WasteShipmentData[[#This Row],[Standardized Volume in lbs]]/2.2</f>
        <v>10845.454545454544</v>
      </c>
      <c r="K82" s="48">
        <f t="shared" si="12"/>
        <v>16000</v>
      </c>
      <c r="L82" s="33" t="s">
        <v>83</v>
      </c>
      <c r="M82" s="33" t="s">
        <v>63</v>
      </c>
      <c r="N82" s="33" t="s">
        <v>83</v>
      </c>
      <c r="O82" s="33" t="s">
        <v>63</v>
      </c>
      <c r="P82" s="33" t="s">
        <v>63</v>
      </c>
      <c r="Q82" s="33" t="s">
        <v>63</v>
      </c>
      <c r="R82" s="33" t="s">
        <v>63</v>
      </c>
      <c r="S82" s="33" t="s">
        <v>84</v>
      </c>
      <c r="T82" s="33" t="s">
        <v>68</v>
      </c>
      <c r="U82" s="33" t="s">
        <v>63</v>
      </c>
      <c r="V82" s="33" t="s">
        <v>69</v>
      </c>
      <c r="W82" s="33" t="s">
        <v>70</v>
      </c>
      <c r="X82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82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82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82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82" s="33" t="s">
        <v>85</v>
      </c>
      <c r="AC82" s="33" t="s">
        <v>86</v>
      </c>
      <c r="AD82" s="33">
        <v>281.5</v>
      </c>
      <c r="AE82" s="33" t="s">
        <v>87</v>
      </c>
      <c r="AF82" s="38" t="s">
        <v>88</v>
      </c>
      <c r="AG82" s="38" t="s">
        <v>75</v>
      </c>
      <c r="AH82" s="33">
        <v>37660</v>
      </c>
      <c r="AI82" s="33" t="s">
        <v>63</v>
      </c>
      <c r="AJ82" s="33" t="s">
        <v>109</v>
      </c>
      <c r="AK82" s="37">
        <v>0</v>
      </c>
      <c r="AL82" s="37">
        <v>7.5</v>
      </c>
      <c r="AM82" s="37">
        <f t="shared" si="9"/>
        <v>89.474999999999994</v>
      </c>
      <c r="AN82" s="37">
        <v>0</v>
      </c>
      <c r="AO82" s="37">
        <v>0</v>
      </c>
      <c r="AP82" s="37">
        <v>0</v>
      </c>
      <c r="AQ82" s="37">
        <v>0</v>
      </c>
      <c r="AR82" s="37">
        <v>0</v>
      </c>
      <c r="AS82" s="37"/>
      <c r="AT82" s="37">
        <f t="shared" si="10"/>
        <v>0</v>
      </c>
      <c r="AU82" s="47">
        <v>0</v>
      </c>
      <c r="AV82" s="47">
        <v>0</v>
      </c>
      <c r="AW82" s="37">
        <f>G82*-155</f>
        <v>-1849.1499999999999</v>
      </c>
      <c r="AX82" s="37">
        <v>0</v>
      </c>
      <c r="AY82" s="30"/>
      <c r="AZ82" s="30"/>
      <c r="BA82" s="30"/>
      <c r="BB82" s="30"/>
    </row>
    <row r="83" spans="1:54" x14ac:dyDescent="0.25">
      <c r="A83" s="33" t="s">
        <v>79</v>
      </c>
      <c r="B83" s="33" t="s">
        <v>80</v>
      </c>
      <c r="C83" s="39">
        <v>45517</v>
      </c>
      <c r="D83" s="33">
        <v>410134</v>
      </c>
      <c r="E83" s="34" t="s">
        <v>63</v>
      </c>
      <c r="F83" s="33" t="s">
        <v>64</v>
      </c>
      <c r="G83" s="33">
        <v>10.41</v>
      </c>
      <c r="H83" s="33">
        <v>2000</v>
      </c>
      <c r="I83" s="33">
        <f t="shared" si="11"/>
        <v>20820</v>
      </c>
      <c r="J83" s="48">
        <f>WasteShipmentData[[#This Row],[Standardized Volume in lbs]]/2.2</f>
        <v>9463.6363636363621</v>
      </c>
      <c r="K83" s="48">
        <f t="shared" si="12"/>
        <v>16000</v>
      </c>
      <c r="L83" s="33" t="s">
        <v>65</v>
      </c>
      <c r="M83" s="33" t="s">
        <v>63</v>
      </c>
      <c r="N83" s="33" t="s">
        <v>66</v>
      </c>
      <c r="O83" s="33" t="s">
        <v>63</v>
      </c>
      <c r="P83" s="33" t="s">
        <v>63</v>
      </c>
      <c r="Q83" s="33" t="s">
        <v>63</v>
      </c>
      <c r="R83" s="33" t="s">
        <v>63</v>
      </c>
      <c r="S83" s="33" t="s">
        <v>67</v>
      </c>
      <c r="T83" s="33" t="s">
        <v>68</v>
      </c>
      <c r="U83" s="33" t="s">
        <v>63</v>
      </c>
      <c r="V83" s="33" t="s">
        <v>69</v>
      </c>
      <c r="W83" s="33" t="s">
        <v>70</v>
      </c>
      <c r="X83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83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83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83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83" s="33" t="s">
        <v>71</v>
      </c>
      <c r="AC83" s="33" t="s">
        <v>72</v>
      </c>
      <c r="AD83" s="33">
        <v>12.3</v>
      </c>
      <c r="AE83" s="33" t="s">
        <v>73</v>
      </c>
      <c r="AF83" s="38" t="s">
        <v>74</v>
      </c>
      <c r="AG83" s="38" t="s">
        <v>75</v>
      </c>
      <c r="AH83" s="33">
        <v>37143</v>
      </c>
      <c r="AI83" s="33" t="s">
        <v>63</v>
      </c>
      <c r="AJ83" s="33" t="s">
        <v>71</v>
      </c>
      <c r="AK83" s="37">
        <v>717.46</v>
      </c>
      <c r="AL83" s="37">
        <v>80.709999999999994</v>
      </c>
      <c r="AM83" s="37">
        <f t="shared" si="9"/>
        <v>840.19109999999989</v>
      </c>
      <c r="AN83" s="37">
        <v>0</v>
      </c>
      <c r="AO83" s="37">
        <v>0</v>
      </c>
      <c r="AP83" s="37">
        <v>0</v>
      </c>
      <c r="AQ83" s="37">
        <v>122.97</v>
      </c>
      <c r="AR83" s="37">
        <v>400</v>
      </c>
      <c r="AS83" s="37">
        <v>45</v>
      </c>
      <c r="AT83" s="37">
        <f t="shared" si="10"/>
        <v>468.45</v>
      </c>
      <c r="AU83" s="47">
        <v>0</v>
      </c>
      <c r="AV83" s="47">
        <v>0</v>
      </c>
      <c r="AW83" s="37">
        <v>0</v>
      </c>
      <c r="AX83" s="37">
        <v>75</v>
      </c>
      <c r="AY83" s="30"/>
      <c r="AZ83" s="30"/>
      <c r="BA83" s="30"/>
      <c r="BB83" s="30"/>
    </row>
    <row r="84" spans="1:54" x14ac:dyDescent="0.25">
      <c r="A84" s="33" t="s">
        <v>79</v>
      </c>
      <c r="B84" s="33" t="s">
        <v>80</v>
      </c>
      <c r="C84" s="39">
        <v>45518</v>
      </c>
      <c r="D84" s="33">
        <v>410135</v>
      </c>
      <c r="E84" s="34" t="s">
        <v>63</v>
      </c>
      <c r="F84" s="33" t="s">
        <v>64</v>
      </c>
      <c r="G84" s="33">
        <v>9.67</v>
      </c>
      <c r="H84" s="33">
        <v>2000</v>
      </c>
      <c r="I84" s="33">
        <f t="shared" si="11"/>
        <v>19340</v>
      </c>
      <c r="J84" s="48">
        <f>WasteShipmentData[[#This Row],[Standardized Volume in lbs]]/2.2</f>
        <v>8790.9090909090901</v>
      </c>
      <c r="K84" s="48">
        <f t="shared" si="12"/>
        <v>16000</v>
      </c>
      <c r="L84" s="33" t="s">
        <v>65</v>
      </c>
      <c r="M84" s="33" t="s">
        <v>63</v>
      </c>
      <c r="N84" s="33" t="s">
        <v>66</v>
      </c>
      <c r="O84" s="33" t="s">
        <v>63</v>
      </c>
      <c r="P84" s="33" t="s">
        <v>63</v>
      </c>
      <c r="Q84" s="33" t="s">
        <v>63</v>
      </c>
      <c r="R84" s="33" t="s">
        <v>63</v>
      </c>
      <c r="S84" s="33" t="s">
        <v>67</v>
      </c>
      <c r="T84" s="33" t="s">
        <v>68</v>
      </c>
      <c r="U84" s="33" t="s">
        <v>63</v>
      </c>
      <c r="V84" s="33" t="s">
        <v>69</v>
      </c>
      <c r="W84" s="33" t="s">
        <v>70</v>
      </c>
      <c r="X84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84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84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84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84" s="33" t="s">
        <v>71</v>
      </c>
      <c r="AC84" s="33" t="s">
        <v>72</v>
      </c>
      <c r="AD84" s="33">
        <v>12.3</v>
      </c>
      <c r="AE84" s="33" t="s">
        <v>73</v>
      </c>
      <c r="AF84" s="38" t="s">
        <v>74</v>
      </c>
      <c r="AG84" s="38" t="s">
        <v>75</v>
      </c>
      <c r="AH84" s="33">
        <v>37143</v>
      </c>
      <c r="AI84" s="33" t="s">
        <v>63</v>
      </c>
      <c r="AJ84" s="33" t="s">
        <v>71</v>
      </c>
      <c r="AK84" s="37">
        <v>717.46</v>
      </c>
      <c r="AL84" s="37">
        <v>80.709999999999994</v>
      </c>
      <c r="AM84" s="37">
        <f t="shared" si="9"/>
        <v>780.46569999999997</v>
      </c>
      <c r="AN84" s="37">
        <v>0</v>
      </c>
      <c r="AO84" s="37">
        <v>0</v>
      </c>
      <c r="AP84" s="37">
        <v>0</v>
      </c>
      <c r="AQ84" s="37">
        <v>122.97</v>
      </c>
      <c r="AR84" s="37">
        <v>400</v>
      </c>
      <c r="AS84" s="37">
        <v>45</v>
      </c>
      <c r="AT84" s="37">
        <f t="shared" si="10"/>
        <v>435.15</v>
      </c>
      <c r="AU84" s="47">
        <v>0</v>
      </c>
      <c r="AV84" s="47">
        <v>0</v>
      </c>
      <c r="AW84" s="37">
        <v>0</v>
      </c>
      <c r="AX84" s="37">
        <v>75</v>
      </c>
      <c r="AY84" s="30"/>
      <c r="AZ84" s="30"/>
      <c r="BA84" s="30"/>
      <c r="BB84" s="30"/>
    </row>
    <row r="85" spans="1:54" x14ac:dyDescent="0.25">
      <c r="A85" s="33" t="s">
        <v>61</v>
      </c>
      <c r="B85" s="33" t="s">
        <v>76</v>
      </c>
      <c r="C85" s="41">
        <v>45519</v>
      </c>
      <c r="D85" s="33">
        <v>410136</v>
      </c>
      <c r="E85" s="34" t="s">
        <v>63</v>
      </c>
      <c r="F85" s="33" t="s">
        <v>64</v>
      </c>
      <c r="G85" s="42">
        <v>6.18</v>
      </c>
      <c r="H85" s="33">
        <v>2000</v>
      </c>
      <c r="I85" s="33">
        <f t="shared" si="11"/>
        <v>12360</v>
      </c>
      <c r="J85" s="48">
        <f>WasteShipmentData[[#This Row],[Standardized Volume in lbs]]/2.2</f>
        <v>5618.181818181818</v>
      </c>
      <c r="K85" s="48">
        <f t="shared" si="12"/>
        <v>16000</v>
      </c>
      <c r="L85" s="33" t="s">
        <v>65</v>
      </c>
      <c r="M85" s="33" t="s">
        <v>63</v>
      </c>
      <c r="N85" s="33" t="s">
        <v>66</v>
      </c>
      <c r="O85" s="33" t="s">
        <v>63</v>
      </c>
      <c r="P85" s="33" t="s">
        <v>63</v>
      </c>
      <c r="Q85" s="33" t="s">
        <v>63</v>
      </c>
      <c r="R85" s="33" t="s">
        <v>63</v>
      </c>
      <c r="S85" s="33" t="s">
        <v>77</v>
      </c>
      <c r="T85" s="33" t="s">
        <v>78</v>
      </c>
      <c r="U85" s="33" t="s">
        <v>63</v>
      </c>
      <c r="V85" s="33" t="s">
        <v>69</v>
      </c>
      <c r="W85" s="33" t="s">
        <v>70</v>
      </c>
      <c r="X85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85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85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85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85" s="33" t="s">
        <v>71</v>
      </c>
      <c r="AC85" s="33" t="s">
        <v>72</v>
      </c>
      <c r="AD85" s="33">
        <v>12.3</v>
      </c>
      <c r="AE85" s="33" t="s">
        <v>73</v>
      </c>
      <c r="AF85" s="38" t="s">
        <v>74</v>
      </c>
      <c r="AG85" s="38" t="s">
        <v>75</v>
      </c>
      <c r="AH85" s="33">
        <v>37143</v>
      </c>
      <c r="AI85" s="33" t="s">
        <v>63</v>
      </c>
      <c r="AJ85" s="33" t="s">
        <v>71</v>
      </c>
      <c r="AK85" s="37">
        <v>450.98</v>
      </c>
      <c r="AL85" s="37">
        <v>108.58</v>
      </c>
      <c r="AM85" s="37">
        <f t="shared" si="9"/>
        <v>671.02440000000001</v>
      </c>
      <c r="AN85" s="37">
        <v>0</v>
      </c>
      <c r="AO85" s="37">
        <v>0</v>
      </c>
      <c r="AP85" s="37">
        <v>0</v>
      </c>
      <c r="AQ85" s="37">
        <v>0</v>
      </c>
      <c r="AR85" s="37">
        <v>275</v>
      </c>
      <c r="AS85" s="37">
        <v>90</v>
      </c>
      <c r="AT85" s="37">
        <f t="shared" si="10"/>
        <v>556.19999999999993</v>
      </c>
      <c r="AU85" s="47">
        <v>0</v>
      </c>
      <c r="AV85" s="47">
        <v>0</v>
      </c>
      <c r="AW85" s="37">
        <v>0</v>
      </c>
      <c r="AX85" s="37">
        <v>0</v>
      </c>
      <c r="AY85" s="30"/>
      <c r="AZ85" s="30"/>
      <c r="BA85" s="30"/>
      <c r="BB85" s="30"/>
    </row>
    <row r="86" spans="1:54" x14ac:dyDescent="0.25">
      <c r="A86" s="33" t="s">
        <v>61</v>
      </c>
      <c r="B86" s="33" t="s">
        <v>62</v>
      </c>
      <c r="C86" s="41">
        <v>45519</v>
      </c>
      <c r="D86" s="33">
        <v>410137</v>
      </c>
      <c r="E86" s="34" t="s">
        <v>63</v>
      </c>
      <c r="F86" s="33" t="s">
        <v>64</v>
      </c>
      <c r="G86" s="42">
        <v>2.85</v>
      </c>
      <c r="H86" s="33">
        <v>2000</v>
      </c>
      <c r="I86" s="33">
        <f t="shared" si="11"/>
        <v>5700</v>
      </c>
      <c r="J86" s="48">
        <f>WasteShipmentData[[#This Row],[Standardized Volume in lbs]]/2.2</f>
        <v>2590.9090909090905</v>
      </c>
      <c r="K86" s="48">
        <f t="shared" si="12"/>
        <v>16000</v>
      </c>
      <c r="L86" s="33" t="s">
        <v>65</v>
      </c>
      <c r="M86" s="33" t="s">
        <v>63</v>
      </c>
      <c r="N86" s="33" t="s">
        <v>66</v>
      </c>
      <c r="O86" s="33" t="s">
        <v>63</v>
      </c>
      <c r="P86" s="33" t="s">
        <v>63</v>
      </c>
      <c r="Q86" s="33" t="s">
        <v>63</v>
      </c>
      <c r="R86" s="33" t="s">
        <v>63</v>
      </c>
      <c r="S86" s="33" t="s">
        <v>77</v>
      </c>
      <c r="T86" s="33" t="s">
        <v>78</v>
      </c>
      <c r="U86" s="33" t="s">
        <v>63</v>
      </c>
      <c r="V86" s="33" t="s">
        <v>69</v>
      </c>
      <c r="W86" s="33" t="s">
        <v>70</v>
      </c>
      <c r="X86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86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86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86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86" s="33" t="s">
        <v>71</v>
      </c>
      <c r="AC86" s="33" t="s">
        <v>72</v>
      </c>
      <c r="AD86" s="33">
        <v>12.3</v>
      </c>
      <c r="AE86" s="33" t="s">
        <v>73</v>
      </c>
      <c r="AF86" s="38" t="s">
        <v>74</v>
      </c>
      <c r="AG86" s="38" t="s">
        <v>75</v>
      </c>
      <c r="AH86" s="33">
        <v>37143</v>
      </c>
      <c r="AI86" s="33" t="s">
        <v>63</v>
      </c>
      <c r="AJ86" s="33" t="s">
        <v>71</v>
      </c>
      <c r="AK86" s="37">
        <v>450.98</v>
      </c>
      <c r="AL86" s="37">
        <v>108.58</v>
      </c>
      <c r="AM86" s="37">
        <f t="shared" si="9"/>
        <v>309.45300000000003</v>
      </c>
      <c r="AN86" s="37">
        <v>0</v>
      </c>
      <c r="AO86" s="37">
        <v>0</v>
      </c>
      <c r="AP86" s="37">
        <v>0</v>
      </c>
      <c r="AQ86" s="37">
        <v>0</v>
      </c>
      <c r="AR86" s="37">
        <v>275</v>
      </c>
      <c r="AS86" s="37">
        <v>90</v>
      </c>
      <c r="AT86" s="37">
        <f t="shared" si="10"/>
        <v>256.5</v>
      </c>
      <c r="AU86" s="47">
        <v>0</v>
      </c>
      <c r="AV86" s="47">
        <v>0</v>
      </c>
      <c r="AW86" s="37">
        <v>0</v>
      </c>
      <c r="AX86" s="37">
        <v>0</v>
      </c>
      <c r="AY86" s="30"/>
      <c r="AZ86" s="30"/>
      <c r="BA86" s="30"/>
      <c r="BB86" s="30"/>
    </row>
    <row r="87" spans="1:54" x14ac:dyDescent="0.25">
      <c r="A87" s="33" t="s">
        <v>79</v>
      </c>
      <c r="B87" s="33" t="s">
        <v>80</v>
      </c>
      <c r="C87" s="39">
        <v>45520</v>
      </c>
      <c r="D87" s="33">
        <v>410139</v>
      </c>
      <c r="E87" s="34" t="s">
        <v>63</v>
      </c>
      <c r="F87" s="33" t="s">
        <v>64</v>
      </c>
      <c r="G87" s="33">
        <v>9.56</v>
      </c>
      <c r="H87" s="33">
        <v>2000</v>
      </c>
      <c r="I87" s="33">
        <f t="shared" si="11"/>
        <v>19120</v>
      </c>
      <c r="J87" s="48">
        <f>WasteShipmentData[[#This Row],[Standardized Volume in lbs]]/2.2</f>
        <v>8690.9090909090901</v>
      </c>
      <c r="K87" s="48">
        <f t="shared" si="12"/>
        <v>16000</v>
      </c>
      <c r="L87" s="33" t="s">
        <v>65</v>
      </c>
      <c r="M87" s="33" t="s">
        <v>63</v>
      </c>
      <c r="N87" s="33" t="s">
        <v>66</v>
      </c>
      <c r="O87" s="33" t="s">
        <v>63</v>
      </c>
      <c r="P87" s="33" t="s">
        <v>63</v>
      </c>
      <c r="Q87" s="33" t="s">
        <v>63</v>
      </c>
      <c r="R87" s="33" t="s">
        <v>63</v>
      </c>
      <c r="S87" s="33" t="s">
        <v>67</v>
      </c>
      <c r="T87" s="33" t="s">
        <v>68</v>
      </c>
      <c r="U87" s="33" t="s">
        <v>63</v>
      </c>
      <c r="V87" s="33" t="s">
        <v>69</v>
      </c>
      <c r="W87" s="33" t="s">
        <v>70</v>
      </c>
      <c r="X87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87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87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87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87" s="33" t="s">
        <v>71</v>
      </c>
      <c r="AC87" s="33" t="s">
        <v>72</v>
      </c>
      <c r="AD87" s="33">
        <v>12.3</v>
      </c>
      <c r="AE87" s="33" t="s">
        <v>73</v>
      </c>
      <c r="AF87" s="38" t="s">
        <v>74</v>
      </c>
      <c r="AG87" s="38" t="s">
        <v>75</v>
      </c>
      <c r="AH87" s="33">
        <v>37143</v>
      </c>
      <c r="AI87" s="33" t="s">
        <v>63</v>
      </c>
      <c r="AJ87" s="33" t="s">
        <v>71</v>
      </c>
      <c r="AK87" s="37">
        <v>717.46</v>
      </c>
      <c r="AL87" s="37">
        <v>80.709999999999994</v>
      </c>
      <c r="AM87" s="37">
        <f t="shared" si="9"/>
        <v>771.58759999999995</v>
      </c>
      <c r="AN87" s="37">
        <v>0</v>
      </c>
      <c r="AO87" s="37">
        <v>0</v>
      </c>
      <c r="AP87" s="37">
        <v>0</v>
      </c>
      <c r="AQ87" s="37">
        <v>122.97</v>
      </c>
      <c r="AR87" s="37">
        <v>400</v>
      </c>
      <c r="AS87" s="37">
        <v>45</v>
      </c>
      <c r="AT87" s="37">
        <f t="shared" si="10"/>
        <v>430.20000000000005</v>
      </c>
      <c r="AU87" s="47">
        <v>0</v>
      </c>
      <c r="AV87" s="47">
        <v>0</v>
      </c>
      <c r="AW87" s="37">
        <v>0</v>
      </c>
      <c r="AX87" s="37">
        <v>75</v>
      </c>
      <c r="AY87" s="30"/>
      <c r="AZ87" s="30"/>
      <c r="BA87" s="30"/>
      <c r="BB87" s="30"/>
    </row>
    <row r="88" spans="1:54" x14ac:dyDescent="0.25">
      <c r="A88" s="33" t="s">
        <v>81</v>
      </c>
      <c r="B88" s="33" t="s">
        <v>80</v>
      </c>
      <c r="C88" s="39">
        <v>45520</v>
      </c>
      <c r="D88" s="33">
        <v>410138</v>
      </c>
      <c r="E88" s="34" t="s">
        <v>63</v>
      </c>
      <c r="F88" s="33" t="s">
        <v>64</v>
      </c>
      <c r="G88" s="33">
        <v>3.61</v>
      </c>
      <c r="H88" s="33">
        <v>2000</v>
      </c>
      <c r="I88" s="33">
        <f t="shared" si="11"/>
        <v>7220</v>
      </c>
      <c r="J88" s="48">
        <f>WasteShipmentData[[#This Row],[Standardized Volume in lbs]]/2.2</f>
        <v>3281.8181818181815</v>
      </c>
      <c r="K88" s="48">
        <v>2000</v>
      </c>
      <c r="L88" s="33" t="s">
        <v>65</v>
      </c>
      <c r="M88" s="33" t="s">
        <v>63</v>
      </c>
      <c r="N88" s="33" t="s">
        <v>66</v>
      </c>
      <c r="O88" s="33" t="s">
        <v>63</v>
      </c>
      <c r="P88" s="33" t="s">
        <v>63</v>
      </c>
      <c r="Q88" s="33" t="s">
        <v>63</v>
      </c>
      <c r="R88" s="33" t="s">
        <v>63</v>
      </c>
      <c r="S88" s="33" t="s">
        <v>67</v>
      </c>
      <c r="T88" s="33" t="s">
        <v>68</v>
      </c>
      <c r="U88" s="33" t="s">
        <v>63</v>
      </c>
      <c r="V88" s="33" t="s">
        <v>69</v>
      </c>
      <c r="W88" s="33" t="s">
        <v>70</v>
      </c>
      <c r="X88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88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88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88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88" s="33" t="s">
        <v>71</v>
      </c>
      <c r="AC88" s="33" t="s">
        <v>72</v>
      </c>
      <c r="AD88" s="33">
        <v>12.3</v>
      </c>
      <c r="AE88" s="33" t="s">
        <v>73</v>
      </c>
      <c r="AF88" s="38" t="s">
        <v>74</v>
      </c>
      <c r="AG88" s="38" t="s">
        <v>75</v>
      </c>
      <c r="AH88" s="33">
        <v>37143</v>
      </c>
      <c r="AI88" s="33" t="s">
        <v>63</v>
      </c>
      <c r="AJ88" s="33" t="s">
        <v>71</v>
      </c>
      <c r="AK88" s="37">
        <v>717.46</v>
      </c>
      <c r="AL88" s="37">
        <v>80.709999999999994</v>
      </c>
      <c r="AM88" s="37">
        <f t="shared" si="9"/>
        <v>291.36309999999997</v>
      </c>
      <c r="AN88" s="37">
        <v>0</v>
      </c>
      <c r="AO88" s="37">
        <v>0</v>
      </c>
      <c r="AP88" s="37">
        <v>0</v>
      </c>
      <c r="AQ88" s="37">
        <v>122.97</v>
      </c>
      <c r="AR88" s="37">
        <v>400</v>
      </c>
      <c r="AS88" s="37">
        <v>45</v>
      </c>
      <c r="AT88" s="37">
        <f t="shared" si="10"/>
        <v>162.44999999999999</v>
      </c>
      <c r="AU88" s="47">
        <v>0</v>
      </c>
      <c r="AV88" s="47">
        <v>0</v>
      </c>
      <c r="AW88" s="37">
        <v>0</v>
      </c>
      <c r="AX88" s="37">
        <v>75</v>
      </c>
      <c r="AY88" s="30"/>
      <c r="AZ88" s="30"/>
      <c r="BA88" s="30"/>
      <c r="BB88" s="30"/>
    </row>
    <row r="89" spans="1:54" x14ac:dyDescent="0.25">
      <c r="A89" s="33" t="s">
        <v>79</v>
      </c>
      <c r="B89" s="33" t="s">
        <v>80</v>
      </c>
      <c r="C89" s="39">
        <v>45523</v>
      </c>
      <c r="D89" s="33">
        <v>410140</v>
      </c>
      <c r="E89" s="34" t="s">
        <v>63</v>
      </c>
      <c r="F89" s="33" t="s">
        <v>64</v>
      </c>
      <c r="G89" s="33">
        <v>9.94</v>
      </c>
      <c r="H89" s="33">
        <v>2000</v>
      </c>
      <c r="I89" s="33">
        <f t="shared" si="11"/>
        <v>19880</v>
      </c>
      <c r="J89" s="48">
        <f>WasteShipmentData[[#This Row],[Standardized Volume in lbs]]/2.2</f>
        <v>9036.363636363636</v>
      </c>
      <c r="K89" s="48">
        <f>8*2000</f>
        <v>16000</v>
      </c>
      <c r="L89" s="33" t="s">
        <v>65</v>
      </c>
      <c r="M89" s="33" t="s">
        <v>63</v>
      </c>
      <c r="N89" s="33" t="s">
        <v>66</v>
      </c>
      <c r="O89" s="33" t="s">
        <v>63</v>
      </c>
      <c r="P89" s="33" t="s">
        <v>63</v>
      </c>
      <c r="Q89" s="33" t="s">
        <v>63</v>
      </c>
      <c r="R89" s="33" t="s">
        <v>63</v>
      </c>
      <c r="S89" s="33" t="s">
        <v>67</v>
      </c>
      <c r="T89" s="33" t="s">
        <v>68</v>
      </c>
      <c r="U89" s="33" t="s">
        <v>63</v>
      </c>
      <c r="V89" s="33" t="s">
        <v>69</v>
      </c>
      <c r="W89" s="33" t="s">
        <v>70</v>
      </c>
      <c r="X89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89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89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89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89" s="33" t="s">
        <v>71</v>
      </c>
      <c r="AC89" s="33" t="s">
        <v>72</v>
      </c>
      <c r="AD89" s="33">
        <v>12.3</v>
      </c>
      <c r="AE89" s="33" t="s">
        <v>73</v>
      </c>
      <c r="AF89" s="38" t="s">
        <v>74</v>
      </c>
      <c r="AG89" s="38" t="s">
        <v>75</v>
      </c>
      <c r="AH89" s="33">
        <v>37143</v>
      </c>
      <c r="AI89" s="33" t="s">
        <v>63</v>
      </c>
      <c r="AJ89" s="33" t="s">
        <v>71</v>
      </c>
      <c r="AK89" s="37">
        <v>717.46</v>
      </c>
      <c r="AL89" s="37">
        <v>80.709999999999994</v>
      </c>
      <c r="AM89" s="37">
        <f t="shared" si="9"/>
        <v>802.25739999999985</v>
      </c>
      <c r="AN89" s="37">
        <v>0</v>
      </c>
      <c r="AO89" s="37">
        <v>0</v>
      </c>
      <c r="AP89" s="37">
        <v>0</v>
      </c>
      <c r="AQ89" s="37">
        <v>122.97</v>
      </c>
      <c r="AR89" s="37">
        <v>400</v>
      </c>
      <c r="AS89" s="37">
        <v>45</v>
      </c>
      <c r="AT89" s="37">
        <f t="shared" si="10"/>
        <v>447.29999999999995</v>
      </c>
      <c r="AU89" s="47">
        <v>0</v>
      </c>
      <c r="AV89" s="47">
        <v>0</v>
      </c>
      <c r="AW89" s="37">
        <v>0</v>
      </c>
      <c r="AX89" s="37">
        <v>75</v>
      </c>
      <c r="AY89" s="30"/>
      <c r="AZ89" s="30"/>
      <c r="BA89" s="30"/>
      <c r="BB89" s="30"/>
    </row>
    <row r="90" spans="1:54" x14ac:dyDescent="0.25">
      <c r="A90" s="33" t="s">
        <v>61</v>
      </c>
      <c r="B90" s="33" t="s">
        <v>62</v>
      </c>
      <c r="C90" s="41">
        <v>45523</v>
      </c>
      <c r="D90" s="33">
        <v>410143</v>
      </c>
      <c r="E90" s="34" t="s">
        <v>63</v>
      </c>
      <c r="F90" s="33" t="s">
        <v>64</v>
      </c>
      <c r="G90" s="42">
        <v>1.5</v>
      </c>
      <c r="H90" s="33">
        <v>2000</v>
      </c>
      <c r="I90" s="33">
        <f t="shared" si="11"/>
        <v>3000</v>
      </c>
      <c r="J90" s="48">
        <f>WasteShipmentData[[#This Row],[Standardized Volume in lbs]]/2.2</f>
        <v>1363.6363636363635</v>
      </c>
      <c r="K90" s="48">
        <v>2500</v>
      </c>
      <c r="L90" s="33" t="s">
        <v>65</v>
      </c>
      <c r="M90" s="33" t="s">
        <v>63</v>
      </c>
      <c r="N90" s="33" t="s">
        <v>66</v>
      </c>
      <c r="O90" s="33" t="s">
        <v>63</v>
      </c>
      <c r="P90" s="33" t="s">
        <v>63</v>
      </c>
      <c r="Q90" s="33" t="s">
        <v>63</v>
      </c>
      <c r="R90" s="33" t="s">
        <v>63</v>
      </c>
      <c r="S90" s="33" t="s">
        <v>67</v>
      </c>
      <c r="T90" s="33" t="s">
        <v>68</v>
      </c>
      <c r="U90" s="33" t="s">
        <v>63</v>
      </c>
      <c r="V90" s="33" t="s">
        <v>69</v>
      </c>
      <c r="W90" s="33" t="s">
        <v>70</v>
      </c>
      <c r="X90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90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90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90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90" s="33" t="s">
        <v>71</v>
      </c>
      <c r="AC90" s="33" t="s">
        <v>72</v>
      </c>
      <c r="AD90" s="33">
        <v>12.3</v>
      </c>
      <c r="AE90" s="33" t="s">
        <v>73</v>
      </c>
      <c r="AF90" s="38" t="s">
        <v>74</v>
      </c>
      <c r="AG90" s="38" t="s">
        <v>75</v>
      </c>
      <c r="AH90" s="33">
        <v>37143</v>
      </c>
      <c r="AI90" s="33" t="s">
        <v>63</v>
      </c>
      <c r="AJ90" s="33" t="s">
        <v>71</v>
      </c>
      <c r="AK90" s="37">
        <v>450.98</v>
      </c>
      <c r="AL90" s="37">
        <v>108.58</v>
      </c>
      <c r="AM90" s="37">
        <f t="shared" si="9"/>
        <v>162.87</v>
      </c>
      <c r="AN90" s="37">
        <v>0</v>
      </c>
      <c r="AO90" s="37">
        <v>0</v>
      </c>
      <c r="AP90" s="37">
        <v>0</v>
      </c>
      <c r="AQ90" s="37">
        <v>0</v>
      </c>
      <c r="AR90" s="37">
        <v>275</v>
      </c>
      <c r="AS90" s="37">
        <v>90</v>
      </c>
      <c r="AT90" s="37">
        <f t="shared" si="10"/>
        <v>135</v>
      </c>
      <c r="AU90" s="47">
        <v>0</v>
      </c>
      <c r="AV90" s="47">
        <v>0</v>
      </c>
      <c r="AW90" s="37">
        <v>0</v>
      </c>
      <c r="AX90" s="37">
        <v>0</v>
      </c>
      <c r="AY90" s="30"/>
      <c r="AZ90" s="30"/>
      <c r="BA90" s="30"/>
      <c r="BB90" s="30"/>
    </row>
    <row r="91" spans="1:54" x14ac:dyDescent="0.25">
      <c r="A91" s="33" t="s">
        <v>61</v>
      </c>
      <c r="B91" s="33" t="s">
        <v>62</v>
      </c>
      <c r="C91" s="41">
        <v>45523</v>
      </c>
      <c r="D91" s="33">
        <v>410144</v>
      </c>
      <c r="E91" s="34" t="s">
        <v>63</v>
      </c>
      <c r="F91" s="33" t="s">
        <v>64</v>
      </c>
      <c r="G91" s="42">
        <v>1.25</v>
      </c>
      <c r="H91" s="33">
        <v>2000</v>
      </c>
      <c r="I91" s="33">
        <f t="shared" si="11"/>
        <v>2500</v>
      </c>
      <c r="J91" s="48">
        <f>WasteShipmentData[[#This Row],[Standardized Volume in lbs]]/2.2</f>
        <v>1136.3636363636363</v>
      </c>
      <c r="K91" s="48">
        <v>2500</v>
      </c>
      <c r="L91" s="33" t="s">
        <v>65</v>
      </c>
      <c r="M91" s="33" t="s">
        <v>63</v>
      </c>
      <c r="N91" s="33" t="s">
        <v>66</v>
      </c>
      <c r="O91" s="33" t="s">
        <v>63</v>
      </c>
      <c r="P91" s="33" t="s">
        <v>63</v>
      </c>
      <c r="Q91" s="33" t="s">
        <v>63</v>
      </c>
      <c r="R91" s="33" t="s">
        <v>63</v>
      </c>
      <c r="S91" s="33" t="s">
        <v>67</v>
      </c>
      <c r="T91" s="33" t="s">
        <v>68</v>
      </c>
      <c r="U91" s="33" t="s">
        <v>63</v>
      </c>
      <c r="V91" s="33" t="s">
        <v>69</v>
      </c>
      <c r="W91" s="33" t="s">
        <v>70</v>
      </c>
      <c r="X91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91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91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91" s="44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91" s="33" t="s">
        <v>71</v>
      </c>
      <c r="AC91" s="33" t="s">
        <v>72</v>
      </c>
      <c r="AD91" s="33">
        <v>12.3</v>
      </c>
      <c r="AE91" s="33" t="s">
        <v>73</v>
      </c>
      <c r="AF91" s="38" t="s">
        <v>74</v>
      </c>
      <c r="AG91" s="38" t="s">
        <v>75</v>
      </c>
      <c r="AH91" s="33">
        <v>37143</v>
      </c>
      <c r="AI91" s="33" t="s">
        <v>63</v>
      </c>
      <c r="AJ91" s="33" t="s">
        <v>71</v>
      </c>
      <c r="AK91" s="37">
        <v>450.98</v>
      </c>
      <c r="AL91" s="37">
        <v>108.58</v>
      </c>
      <c r="AM91" s="37">
        <f t="shared" si="9"/>
        <v>135.72499999999999</v>
      </c>
      <c r="AN91" s="37">
        <v>0</v>
      </c>
      <c r="AO91" s="37">
        <v>0</v>
      </c>
      <c r="AP91" s="37">
        <v>0</v>
      </c>
      <c r="AQ91" s="37">
        <v>0</v>
      </c>
      <c r="AR91" s="37">
        <v>275</v>
      </c>
      <c r="AS91" s="37">
        <v>90</v>
      </c>
      <c r="AT91" s="37">
        <f t="shared" si="10"/>
        <v>112.5</v>
      </c>
      <c r="AU91" s="47">
        <v>0</v>
      </c>
      <c r="AV91" s="47">
        <v>0</v>
      </c>
      <c r="AW91" s="37">
        <v>0</v>
      </c>
      <c r="AX91" s="37">
        <v>0</v>
      </c>
      <c r="AY91" s="30"/>
      <c r="AZ91" s="30"/>
      <c r="BA91" s="30"/>
      <c r="BB91" s="30"/>
    </row>
    <row r="92" spans="1:54" x14ac:dyDescent="0.25">
      <c r="A92" s="33" t="s">
        <v>61</v>
      </c>
      <c r="B92" s="33" t="s">
        <v>62</v>
      </c>
      <c r="C92" s="41">
        <v>45523</v>
      </c>
      <c r="D92" s="33">
        <v>410145</v>
      </c>
      <c r="E92" s="34" t="s">
        <v>63</v>
      </c>
      <c r="F92" s="33" t="s">
        <v>64</v>
      </c>
      <c r="G92" s="42">
        <v>1.24</v>
      </c>
      <c r="H92" s="33">
        <v>2000</v>
      </c>
      <c r="I92" s="33">
        <f t="shared" si="11"/>
        <v>2480</v>
      </c>
      <c r="J92" s="48">
        <f>WasteShipmentData[[#This Row],[Standardized Volume in lbs]]/2.2</f>
        <v>1127.2727272727273</v>
      </c>
      <c r="K92" s="48">
        <v>2500</v>
      </c>
      <c r="L92" s="33" t="s">
        <v>65</v>
      </c>
      <c r="M92" s="33" t="s">
        <v>63</v>
      </c>
      <c r="N92" s="33" t="s">
        <v>66</v>
      </c>
      <c r="O92" s="33" t="s">
        <v>63</v>
      </c>
      <c r="P92" s="33" t="s">
        <v>63</v>
      </c>
      <c r="Q92" s="33" t="s">
        <v>63</v>
      </c>
      <c r="R92" s="33" t="s">
        <v>63</v>
      </c>
      <c r="S92" s="33" t="s">
        <v>67</v>
      </c>
      <c r="T92" s="33" t="s">
        <v>68</v>
      </c>
      <c r="U92" s="33" t="s">
        <v>63</v>
      </c>
      <c r="V92" s="33" t="s">
        <v>69</v>
      </c>
      <c r="W92" s="33" t="s">
        <v>70</v>
      </c>
      <c r="X92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92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92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92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92" s="33" t="s">
        <v>71</v>
      </c>
      <c r="AC92" s="33" t="s">
        <v>72</v>
      </c>
      <c r="AD92" s="33">
        <v>12.3</v>
      </c>
      <c r="AE92" s="33" t="s">
        <v>73</v>
      </c>
      <c r="AF92" s="38" t="s">
        <v>74</v>
      </c>
      <c r="AG92" s="38" t="s">
        <v>75</v>
      </c>
      <c r="AH92" s="33">
        <v>37143</v>
      </c>
      <c r="AI92" s="33" t="s">
        <v>63</v>
      </c>
      <c r="AJ92" s="33" t="s">
        <v>71</v>
      </c>
      <c r="AK92" s="37">
        <v>450.98</v>
      </c>
      <c r="AL92" s="37">
        <v>108.58</v>
      </c>
      <c r="AM92" s="37">
        <f t="shared" si="9"/>
        <v>134.63919999999999</v>
      </c>
      <c r="AN92" s="37">
        <v>0</v>
      </c>
      <c r="AO92" s="37">
        <v>0</v>
      </c>
      <c r="AP92" s="37">
        <v>0</v>
      </c>
      <c r="AQ92" s="37">
        <v>0</v>
      </c>
      <c r="AR92" s="37">
        <v>275</v>
      </c>
      <c r="AS92" s="37">
        <v>90</v>
      </c>
      <c r="AT92" s="37">
        <f t="shared" si="10"/>
        <v>111.6</v>
      </c>
      <c r="AU92" s="47">
        <v>0</v>
      </c>
      <c r="AV92" s="47">
        <v>0</v>
      </c>
      <c r="AW92" s="37">
        <v>0</v>
      </c>
      <c r="AX92" s="37">
        <v>0</v>
      </c>
      <c r="AY92" s="30"/>
      <c r="AZ92" s="30"/>
      <c r="BA92" s="30"/>
      <c r="BB92" s="30"/>
    </row>
    <row r="93" spans="1:54" x14ac:dyDescent="0.25">
      <c r="A93" s="33" t="s">
        <v>61</v>
      </c>
      <c r="B93" s="33" t="s">
        <v>62</v>
      </c>
      <c r="C93" s="41">
        <v>45523</v>
      </c>
      <c r="D93" s="33">
        <v>410141</v>
      </c>
      <c r="E93" s="34" t="s">
        <v>63</v>
      </c>
      <c r="F93" s="33" t="s">
        <v>64</v>
      </c>
      <c r="G93" s="42">
        <v>2.0299999999999998</v>
      </c>
      <c r="H93" s="33">
        <v>2000</v>
      </c>
      <c r="I93" s="33">
        <f t="shared" si="11"/>
        <v>4059.9999999999995</v>
      </c>
      <c r="J93" s="48">
        <f>WasteShipmentData[[#This Row],[Standardized Volume in lbs]]/2.2</f>
        <v>1845.454545454545</v>
      </c>
      <c r="K93" s="48">
        <f t="shared" ref="K93:K102" si="13">8*2000</f>
        <v>16000</v>
      </c>
      <c r="L93" s="33" t="s">
        <v>65</v>
      </c>
      <c r="M93" s="33" t="s">
        <v>63</v>
      </c>
      <c r="N93" s="33" t="s">
        <v>66</v>
      </c>
      <c r="O93" s="33" t="s">
        <v>63</v>
      </c>
      <c r="P93" s="33" t="s">
        <v>63</v>
      </c>
      <c r="Q93" s="33" t="s">
        <v>63</v>
      </c>
      <c r="R93" s="33" t="s">
        <v>63</v>
      </c>
      <c r="S93" s="33" t="s">
        <v>77</v>
      </c>
      <c r="T93" s="33" t="s">
        <v>78</v>
      </c>
      <c r="U93" s="33" t="s">
        <v>63</v>
      </c>
      <c r="V93" s="33" t="s">
        <v>69</v>
      </c>
      <c r="W93" s="33" t="s">
        <v>70</v>
      </c>
      <c r="X93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93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93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93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93" s="33" t="s">
        <v>71</v>
      </c>
      <c r="AC93" s="33" t="s">
        <v>72</v>
      </c>
      <c r="AD93" s="33">
        <v>12.3</v>
      </c>
      <c r="AE93" s="33" t="s">
        <v>73</v>
      </c>
      <c r="AF93" s="38" t="s">
        <v>74</v>
      </c>
      <c r="AG93" s="38" t="s">
        <v>75</v>
      </c>
      <c r="AH93" s="33">
        <v>37143</v>
      </c>
      <c r="AI93" s="33" t="s">
        <v>63</v>
      </c>
      <c r="AJ93" s="33" t="s">
        <v>71</v>
      </c>
      <c r="AK93" s="37">
        <v>450.98</v>
      </c>
      <c r="AL93" s="37">
        <v>108.58</v>
      </c>
      <c r="AM93" s="37">
        <f t="shared" si="9"/>
        <v>220.41739999999999</v>
      </c>
      <c r="AN93" s="37">
        <v>0</v>
      </c>
      <c r="AO93" s="37">
        <v>0</v>
      </c>
      <c r="AP93" s="37">
        <v>0</v>
      </c>
      <c r="AQ93" s="37">
        <v>0</v>
      </c>
      <c r="AR93" s="37">
        <v>275</v>
      </c>
      <c r="AS93" s="37">
        <v>90</v>
      </c>
      <c r="AT93" s="37">
        <f t="shared" si="10"/>
        <v>182.7</v>
      </c>
      <c r="AU93" s="47">
        <v>0</v>
      </c>
      <c r="AV93" s="47">
        <v>0</v>
      </c>
      <c r="AW93" s="37">
        <v>0</v>
      </c>
      <c r="AX93" s="37">
        <v>0</v>
      </c>
      <c r="AY93" s="30"/>
      <c r="AZ93" s="30"/>
      <c r="BA93" s="30"/>
      <c r="BB93" s="30"/>
    </row>
    <row r="94" spans="1:54" x14ac:dyDescent="0.25">
      <c r="A94" s="33" t="s">
        <v>61</v>
      </c>
      <c r="B94" s="33" t="s">
        <v>62</v>
      </c>
      <c r="C94" s="41">
        <v>45523</v>
      </c>
      <c r="D94" s="33">
        <v>410142</v>
      </c>
      <c r="E94" s="34" t="s">
        <v>63</v>
      </c>
      <c r="F94" s="33" t="s">
        <v>64</v>
      </c>
      <c r="G94" s="42">
        <v>2.2200000000000002</v>
      </c>
      <c r="H94" s="33">
        <v>2000</v>
      </c>
      <c r="I94" s="33">
        <f t="shared" si="11"/>
        <v>4440</v>
      </c>
      <c r="J94" s="48">
        <f>WasteShipmentData[[#This Row],[Standardized Volume in lbs]]/2.2</f>
        <v>2018.181818181818</v>
      </c>
      <c r="K94" s="48">
        <f t="shared" si="13"/>
        <v>16000</v>
      </c>
      <c r="L94" s="33" t="s">
        <v>65</v>
      </c>
      <c r="M94" s="33" t="s">
        <v>63</v>
      </c>
      <c r="N94" s="33" t="s">
        <v>66</v>
      </c>
      <c r="O94" s="33" t="s">
        <v>63</v>
      </c>
      <c r="P94" s="33" t="s">
        <v>63</v>
      </c>
      <c r="Q94" s="33" t="s">
        <v>63</v>
      </c>
      <c r="R94" s="33" t="s">
        <v>63</v>
      </c>
      <c r="S94" s="33" t="s">
        <v>77</v>
      </c>
      <c r="T94" s="33" t="s">
        <v>78</v>
      </c>
      <c r="U94" s="33" t="s">
        <v>63</v>
      </c>
      <c r="V94" s="33" t="s">
        <v>69</v>
      </c>
      <c r="W94" s="33" t="s">
        <v>70</v>
      </c>
      <c r="X94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94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94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94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94" s="33" t="s">
        <v>71</v>
      </c>
      <c r="AC94" s="33" t="s">
        <v>72</v>
      </c>
      <c r="AD94" s="33">
        <v>12.3</v>
      </c>
      <c r="AE94" s="33" t="s">
        <v>73</v>
      </c>
      <c r="AF94" s="38" t="s">
        <v>74</v>
      </c>
      <c r="AG94" s="38" t="s">
        <v>75</v>
      </c>
      <c r="AH94" s="33">
        <v>37143</v>
      </c>
      <c r="AI94" s="33" t="s">
        <v>63</v>
      </c>
      <c r="AJ94" s="33" t="s">
        <v>71</v>
      </c>
      <c r="AK94" s="37">
        <v>450.98</v>
      </c>
      <c r="AL94" s="37">
        <v>108.58</v>
      </c>
      <c r="AM94" s="37">
        <f t="shared" si="9"/>
        <v>241.04760000000002</v>
      </c>
      <c r="AN94" s="37">
        <v>0</v>
      </c>
      <c r="AO94" s="37">
        <v>0</v>
      </c>
      <c r="AP94" s="37">
        <v>0</v>
      </c>
      <c r="AQ94" s="37">
        <v>0</v>
      </c>
      <c r="AR94" s="37">
        <v>275</v>
      </c>
      <c r="AS94" s="37">
        <v>90</v>
      </c>
      <c r="AT94" s="37">
        <f t="shared" si="10"/>
        <v>199.8</v>
      </c>
      <c r="AU94" s="47">
        <v>0</v>
      </c>
      <c r="AV94" s="47">
        <v>0</v>
      </c>
      <c r="AW94" s="37">
        <v>0</v>
      </c>
      <c r="AX94" s="37">
        <v>0</v>
      </c>
      <c r="AY94" s="30"/>
      <c r="AZ94" s="30"/>
      <c r="BA94" s="30"/>
      <c r="BB94" s="30"/>
    </row>
    <row r="95" spans="1:54" x14ac:dyDescent="0.25">
      <c r="A95" s="33" t="s">
        <v>79</v>
      </c>
      <c r="B95" s="33" t="s">
        <v>80</v>
      </c>
      <c r="C95" s="39">
        <v>45524</v>
      </c>
      <c r="D95" s="33">
        <v>410146</v>
      </c>
      <c r="E95" s="34" t="s">
        <v>63</v>
      </c>
      <c r="F95" s="33" t="s">
        <v>64</v>
      </c>
      <c r="G95" s="33">
        <v>9.76</v>
      </c>
      <c r="H95" s="33">
        <v>2000</v>
      </c>
      <c r="I95" s="33">
        <f t="shared" si="11"/>
        <v>19520</v>
      </c>
      <c r="J95" s="48">
        <f>WasteShipmentData[[#This Row],[Standardized Volume in lbs]]/2.2</f>
        <v>8872.7272727272721</v>
      </c>
      <c r="K95" s="48">
        <f t="shared" si="13"/>
        <v>16000</v>
      </c>
      <c r="L95" s="33" t="s">
        <v>65</v>
      </c>
      <c r="M95" s="33" t="s">
        <v>63</v>
      </c>
      <c r="N95" s="33" t="s">
        <v>66</v>
      </c>
      <c r="O95" s="33" t="s">
        <v>63</v>
      </c>
      <c r="P95" s="33" t="s">
        <v>63</v>
      </c>
      <c r="Q95" s="33" t="s">
        <v>63</v>
      </c>
      <c r="R95" s="33" t="s">
        <v>63</v>
      </c>
      <c r="S95" s="33" t="s">
        <v>67</v>
      </c>
      <c r="T95" s="33" t="s">
        <v>68</v>
      </c>
      <c r="U95" s="33" t="s">
        <v>63</v>
      </c>
      <c r="V95" s="33" t="s">
        <v>69</v>
      </c>
      <c r="W95" s="33" t="s">
        <v>70</v>
      </c>
      <c r="X95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95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95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95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95" s="33" t="s">
        <v>71</v>
      </c>
      <c r="AC95" s="33" t="s">
        <v>72</v>
      </c>
      <c r="AD95" s="33">
        <v>12.3</v>
      </c>
      <c r="AE95" s="33" t="s">
        <v>73</v>
      </c>
      <c r="AF95" s="38" t="s">
        <v>74</v>
      </c>
      <c r="AG95" s="38" t="s">
        <v>75</v>
      </c>
      <c r="AH95" s="33">
        <v>37143</v>
      </c>
      <c r="AI95" s="33" t="s">
        <v>63</v>
      </c>
      <c r="AJ95" s="33" t="s">
        <v>71</v>
      </c>
      <c r="AK95" s="37">
        <v>717.46</v>
      </c>
      <c r="AL95" s="37">
        <v>80.709999999999994</v>
      </c>
      <c r="AM95" s="37">
        <f t="shared" si="9"/>
        <v>787.72959999999989</v>
      </c>
      <c r="AN95" s="37">
        <v>0</v>
      </c>
      <c r="AO95" s="37">
        <v>0</v>
      </c>
      <c r="AP95" s="37">
        <v>0</v>
      </c>
      <c r="AQ95" s="37">
        <v>122.97</v>
      </c>
      <c r="AR95" s="37">
        <v>400</v>
      </c>
      <c r="AS95" s="37">
        <v>45</v>
      </c>
      <c r="AT95" s="37">
        <f t="shared" si="10"/>
        <v>439.2</v>
      </c>
      <c r="AU95" s="47">
        <v>0</v>
      </c>
      <c r="AV95" s="47">
        <v>0</v>
      </c>
      <c r="AW95" s="37">
        <v>0</v>
      </c>
      <c r="AX95" s="37">
        <v>75</v>
      </c>
      <c r="AY95" s="30"/>
      <c r="AZ95" s="30"/>
      <c r="BA95" s="30"/>
      <c r="BB95" s="30"/>
    </row>
    <row r="96" spans="1:54" x14ac:dyDescent="0.25">
      <c r="A96" s="33" t="s">
        <v>79</v>
      </c>
      <c r="B96" s="33" t="s">
        <v>80</v>
      </c>
      <c r="C96" s="39">
        <v>45525</v>
      </c>
      <c r="D96" s="33">
        <v>410147</v>
      </c>
      <c r="E96" s="34" t="s">
        <v>63</v>
      </c>
      <c r="F96" s="33" t="s">
        <v>64</v>
      </c>
      <c r="G96" s="33">
        <v>9.61</v>
      </c>
      <c r="H96" s="33">
        <v>2000</v>
      </c>
      <c r="I96" s="33">
        <f t="shared" si="11"/>
        <v>19220</v>
      </c>
      <c r="J96" s="48">
        <f>WasteShipmentData[[#This Row],[Standardized Volume in lbs]]/2.2</f>
        <v>8736.363636363636</v>
      </c>
      <c r="K96" s="48">
        <f t="shared" si="13"/>
        <v>16000</v>
      </c>
      <c r="L96" s="33" t="s">
        <v>65</v>
      </c>
      <c r="M96" s="33" t="s">
        <v>63</v>
      </c>
      <c r="N96" s="33" t="s">
        <v>66</v>
      </c>
      <c r="O96" s="33" t="s">
        <v>63</v>
      </c>
      <c r="P96" s="33" t="s">
        <v>63</v>
      </c>
      <c r="Q96" s="33" t="s">
        <v>63</v>
      </c>
      <c r="R96" s="33" t="s">
        <v>63</v>
      </c>
      <c r="S96" s="33" t="s">
        <v>67</v>
      </c>
      <c r="T96" s="33" t="s">
        <v>68</v>
      </c>
      <c r="U96" s="33" t="s">
        <v>63</v>
      </c>
      <c r="V96" s="33" t="s">
        <v>69</v>
      </c>
      <c r="W96" s="33" t="s">
        <v>70</v>
      </c>
      <c r="X96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96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96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96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96" s="33" t="s">
        <v>71</v>
      </c>
      <c r="AC96" s="33" t="s">
        <v>72</v>
      </c>
      <c r="AD96" s="33">
        <v>12.3</v>
      </c>
      <c r="AE96" s="33" t="s">
        <v>73</v>
      </c>
      <c r="AF96" s="38" t="s">
        <v>74</v>
      </c>
      <c r="AG96" s="38" t="s">
        <v>75</v>
      </c>
      <c r="AH96" s="33">
        <v>37143</v>
      </c>
      <c r="AI96" s="33" t="s">
        <v>63</v>
      </c>
      <c r="AJ96" s="33" t="s">
        <v>71</v>
      </c>
      <c r="AK96" s="37">
        <v>717.46</v>
      </c>
      <c r="AL96" s="37">
        <v>80.709999999999994</v>
      </c>
      <c r="AM96" s="37">
        <f t="shared" si="9"/>
        <v>775.62309999999991</v>
      </c>
      <c r="AN96" s="37">
        <v>0</v>
      </c>
      <c r="AO96" s="37">
        <v>0</v>
      </c>
      <c r="AP96" s="37">
        <v>0</v>
      </c>
      <c r="AQ96" s="37">
        <v>122.97</v>
      </c>
      <c r="AR96" s="37">
        <v>400</v>
      </c>
      <c r="AS96" s="37">
        <v>45</v>
      </c>
      <c r="AT96" s="37">
        <f t="shared" si="10"/>
        <v>432.45</v>
      </c>
      <c r="AU96" s="47">
        <v>0</v>
      </c>
      <c r="AV96" s="47">
        <v>0</v>
      </c>
      <c r="AW96" s="37">
        <v>0</v>
      </c>
      <c r="AX96" s="37">
        <v>75</v>
      </c>
      <c r="AY96" s="30"/>
      <c r="AZ96" s="30"/>
      <c r="BA96" s="30"/>
      <c r="BB96" s="30"/>
    </row>
    <row r="97" spans="1:54" x14ac:dyDescent="0.25">
      <c r="A97" s="33" t="s">
        <v>79</v>
      </c>
      <c r="B97" s="33" t="s">
        <v>80</v>
      </c>
      <c r="C97" s="39">
        <v>45526</v>
      </c>
      <c r="D97" s="33">
        <v>410148</v>
      </c>
      <c r="E97" s="34" t="s">
        <v>63</v>
      </c>
      <c r="F97" s="33" t="s">
        <v>64</v>
      </c>
      <c r="G97" s="33">
        <v>9.73</v>
      </c>
      <c r="H97" s="33">
        <v>2000</v>
      </c>
      <c r="I97" s="33">
        <f t="shared" si="11"/>
        <v>19460</v>
      </c>
      <c r="J97" s="48">
        <f>WasteShipmentData[[#This Row],[Standardized Volume in lbs]]/2.2</f>
        <v>8845.4545454545441</v>
      </c>
      <c r="K97" s="48">
        <f t="shared" si="13"/>
        <v>16000</v>
      </c>
      <c r="L97" s="33" t="s">
        <v>65</v>
      </c>
      <c r="M97" s="33" t="s">
        <v>63</v>
      </c>
      <c r="N97" s="33" t="s">
        <v>66</v>
      </c>
      <c r="O97" s="33" t="s">
        <v>63</v>
      </c>
      <c r="P97" s="33" t="s">
        <v>63</v>
      </c>
      <c r="Q97" s="33" t="s">
        <v>63</v>
      </c>
      <c r="R97" s="33" t="s">
        <v>63</v>
      </c>
      <c r="S97" s="33" t="s">
        <v>67</v>
      </c>
      <c r="T97" s="33" t="s">
        <v>68</v>
      </c>
      <c r="U97" s="33" t="s">
        <v>63</v>
      </c>
      <c r="V97" s="33" t="s">
        <v>69</v>
      </c>
      <c r="W97" s="33" t="s">
        <v>70</v>
      </c>
      <c r="X97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97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97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97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97" s="33" t="s">
        <v>71</v>
      </c>
      <c r="AC97" s="33" t="s">
        <v>72</v>
      </c>
      <c r="AD97" s="33">
        <v>12.3</v>
      </c>
      <c r="AE97" s="33" t="s">
        <v>73</v>
      </c>
      <c r="AF97" s="38" t="s">
        <v>74</v>
      </c>
      <c r="AG97" s="38" t="s">
        <v>75</v>
      </c>
      <c r="AH97" s="33">
        <v>37143</v>
      </c>
      <c r="AI97" s="33" t="s">
        <v>63</v>
      </c>
      <c r="AJ97" s="33" t="s">
        <v>71</v>
      </c>
      <c r="AK97" s="37">
        <v>717.46</v>
      </c>
      <c r="AL97" s="37">
        <v>80.709999999999994</v>
      </c>
      <c r="AM97" s="37">
        <f t="shared" si="9"/>
        <v>785.30829999999992</v>
      </c>
      <c r="AN97" s="37">
        <v>0</v>
      </c>
      <c r="AO97" s="37">
        <v>0</v>
      </c>
      <c r="AP97" s="37">
        <v>0</v>
      </c>
      <c r="AQ97" s="37">
        <v>122.97</v>
      </c>
      <c r="AR97" s="37">
        <v>400</v>
      </c>
      <c r="AS97" s="37">
        <v>45</v>
      </c>
      <c r="AT97" s="37">
        <f t="shared" si="10"/>
        <v>437.85</v>
      </c>
      <c r="AU97" s="47">
        <v>0</v>
      </c>
      <c r="AV97" s="47">
        <v>0</v>
      </c>
      <c r="AW97" s="37">
        <v>0</v>
      </c>
      <c r="AX97" s="37">
        <v>75</v>
      </c>
      <c r="AY97" s="30"/>
      <c r="AZ97" s="30"/>
      <c r="BA97" s="30"/>
      <c r="BB97" s="30"/>
    </row>
    <row r="98" spans="1:54" x14ac:dyDescent="0.25">
      <c r="A98" s="33" t="s">
        <v>61</v>
      </c>
      <c r="B98" s="33" t="s">
        <v>76</v>
      </c>
      <c r="C98" s="41">
        <v>45526</v>
      </c>
      <c r="D98" s="33">
        <v>410150</v>
      </c>
      <c r="E98" s="34" t="s">
        <v>63</v>
      </c>
      <c r="F98" s="33" t="s">
        <v>64</v>
      </c>
      <c r="G98" s="42">
        <v>3.66</v>
      </c>
      <c r="H98" s="33">
        <v>2000</v>
      </c>
      <c r="I98" s="33">
        <f t="shared" si="11"/>
        <v>7320</v>
      </c>
      <c r="J98" s="48">
        <f>WasteShipmentData[[#This Row],[Standardized Volume in lbs]]/2.2</f>
        <v>3327.272727272727</v>
      </c>
      <c r="K98" s="48">
        <f t="shared" si="13"/>
        <v>16000</v>
      </c>
      <c r="L98" s="33" t="s">
        <v>65</v>
      </c>
      <c r="M98" s="33" t="s">
        <v>63</v>
      </c>
      <c r="N98" s="33" t="s">
        <v>66</v>
      </c>
      <c r="O98" s="33" t="s">
        <v>63</v>
      </c>
      <c r="P98" s="33" t="s">
        <v>63</v>
      </c>
      <c r="Q98" s="33" t="s">
        <v>63</v>
      </c>
      <c r="R98" s="33" t="s">
        <v>63</v>
      </c>
      <c r="S98" s="33" t="s">
        <v>77</v>
      </c>
      <c r="T98" s="33" t="s">
        <v>78</v>
      </c>
      <c r="U98" s="33" t="s">
        <v>63</v>
      </c>
      <c r="V98" s="33" t="s">
        <v>69</v>
      </c>
      <c r="W98" s="33" t="s">
        <v>70</v>
      </c>
      <c r="X98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98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98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98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98" s="33" t="s">
        <v>71</v>
      </c>
      <c r="AC98" s="33" t="s">
        <v>72</v>
      </c>
      <c r="AD98" s="33">
        <v>12.3</v>
      </c>
      <c r="AE98" s="33" t="s">
        <v>73</v>
      </c>
      <c r="AF98" s="38" t="s">
        <v>74</v>
      </c>
      <c r="AG98" s="38" t="s">
        <v>75</v>
      </c>
      <c r="AH98" s="33">
        <v>37143</v>
      </c>
      <c r="AI98" s="33" t="s">
        <v>63</v>
      </c>
      <c r="AJ98" s="33" t="s">
        <v>71</v>
      </c>
      <c r="AK98" s="37">
        <v>450.98</v>
      </c>
      <c r="AL98" s="37">
        <v>108.58</v>
      </c>
      <c r="AM98" s="37">
        <f t="shared" si="9"/>
        <v>397.40280000000001</v>
      </c>
      <c r="AN98" s="37">
        <v>0</v>
      </c>
      <c r="AO98" s="37">
        <v>0</v>
      </c>
      <c r="AP98" s="37">
        <v>0</v>
      </c>
      <c r="AQ98" s="37">
        <v>0</v>
      </c>
      <c r="AR98" s="37">
        <v>275</v>
      </c>
      <c r="AS98" s="37">
        <v>90</v>
      </c>
      <c r="AT98" s="37">
        <f t="shared" si="10"/>
        <v>329.40000000000003</v>
      </c>
      <c r="AU98" s="47">
        <v>0</v>
      </c>
      <c r="AV98" s="47">
        <v>0</v>
      </c>
      <c r="AW98" s="37">
        <v>0</v>
      </c>
      <c r="AX98" s="37">
        <v>0</v>
      </c>
      <c r="AY98" s="30"/>
      <c r="AZ98" s="30"/>
      <c r="BA98" s="30"/>
      <c r="BB98" s="30"/>
    </row>
    <row r="99" spans="1:54" x14ac:dyDescent="0.25">
      <c r="A99" s="33" t="s">
        <v>61</v>
      </c>
      <c r="B99" s="33" t="s">
        <v>62</v>
      </c>
      <c r="C99" s="41">
        <v>45526</v>
      </c>
      <c r="D99" s="33">
        <v>410149</v>
      </c>
      <c r="E99" s="34" t="s">
        <v>63</v>
      </c>
      <c r="F99" s="33" t="s">
        <v>64</v>
      </c>
      <c r="G99" s="42">
        <v>4.6500000000000004</v>
      </c>
      <c r="H99" s="33">
        <v>2000</v>
      </c>
      <c r="I99" s="33">
        <f t="shared" si="11"/>
        <v>9300</v>
      </c>
      <c r="J99" s="48">
        <f>WasteShipmentData[[#This Row],[Standardized Volume in lbs]]/2.2</f>
        <v>4227.272727272727</v>
      </c>
      <c r="K99" s="48">
        <f t="shared" si="13"/>
        <v>16000</v>
      </c>
      <c r="L99" s="33" t="s">
        <v>65</v>
      </c>
      <c r="M99" s="33" t="s">
        <v>63</v>
      </c>
      <c r="N99" s="33" t="s">
        <v>66</v>
      </c>
      <c r="O99" s="33" t="s">
        <v>63</v>
      </c>
      <c r="P99" s="33" t="s">
        <v>63</v>
      </c>
      <c r="Q99" s="33" t="s">
        <v>63</v>
      </c>
      <c r="R99" s="33" t="s">
        <v>63</v>
      </c>
      <c r="S99" s="33" t="s">
        <v>77</v>
      </c>
      <c r="T99" s="33" t="s">
        <v>78</v>
      </c>
      <c r="U99" s="33" t="s">
        <v>63</v>
      </c>
      <c r="V99" s="33" t="s">
        <v>69</v>
      </c>
      <c r="W99" s="33" t="s">
        <v>70</v>
      </c>
      <c r="X99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99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99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99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99" s="33" t="s">
        <v>71</v>
      </c>
      <c r="AC99" s="33" t="s">
        <v>72</v>
      </c>
      <c r="AD99" s="33">
        <v>12.3</v>
      </c>
      <c r="AE99" s="33" t="s">
        <v>73</v>
      </c>
      <c r="AF99" s="38" t="s">
        <v>74</v>
      </c>
      <c r="AG99" s="38" t="s">
        <v>75</v>
      </c>
      <c r="AH99" s="33">
        <v>37143</v>
      </c>
      <c r="AI99" s="33" t="s">
        <v>63</v>
      </c>
      <c r="AJ99" s="33" t="s">
        <v>71</v>
      </c>
      <c r="AK99" s="37">
        <v>450.98</v>
      </c>
      <c r="AL99" s="37">
        <v>108.58</v>
      </c>
      <c r="AM99" s="37">
        <f t="shared" ref="AM99:AM130" si="14">AL99*G99</f>
        <v>504.89700000000005</v>
      </c>
      <c r="AN99" s="37">
        <v>0</v>
      </c>
      <c r="AO99" s="37">
        <v>0</v>
      </c>
      <c r="AP99" s="37">
        <v>0</v>
      </c>
      <c r="AQ99" s="37">
        <v>0</v>
      </c>
      <c r="AR99" s="37">
        <v>275</v>
      </c>
      <c r="AS99" s="37">
        <v>90</v>
      </c>
      <c r="AT99" s="37">
        <f t="shared" ref="AT99:AT130" si="15">AS99*G99</f>
        <v>418.50000000000006</v>
      </c>
      <c r="AU99" s="47">
        <v>0</v>
      </c>
      <c r="AV99" s="47">
        <v>0</v>
      </c>
      <c r="AW99" s="37">
        <v>0</v>
      </c>
      <c r="AX99" s="37">
        <v>0</v>
      </c>
      <c r="AY99" s="30"/>
      <c r="AZ99" s="30"/>
      <c r="BA99" s="30"/>
      <c r="BB99" s="30"/>
    </row>
    <row r="100" spans="1:54" x14ac:dyDescent="0.25">
      <c r="A100" s="33" t="s">
        <v>79</v>
      </c>
      <c r="B100" s="33" t="s">
        <v>80</v>
      </c>
      <c r="C100" s="39">
        <v>45527</v>
      </c>
      <c r="D100" s="33">
        <v>410151</v>
      </c>
      <c r="E100" s="34" t="s">
        <v>63</v>
      </c>
      <c r="F100" s="33" t="s">
        <v>64</v>
      </c>
      <c r="G100" s="33">
        <v>7.61</v>
      </c>
      <c r="H100" s="33">
        <v>2000</v>
      </c>
      <c r="I100" s="33">
        <f t="shared" si="11"/>
        <v>15220</v>
      </c>
      <c r="J100" s="48">
        <f>WasteShipmentData[[#This Row],[Standardized Volume in lbs]]/2.2</f>
        <v>6918.181818181818</v>
      </c>
      <c r="K100" s="48">
        <f t="shared" si="13"/>
        <v>16000</v>
      </c>
      <c r="L100" s="33" t="s">
        <v>65</v>
      </c>
      <c r="M100" s="33" t="s">
        <v>63</v>
      </c>
      <c r="N100" s="33" t="s">
        <v>66</v>
      </c>
      <c r="O100" s="33" t="s">
        <v>63</v>
      </c>
      <c r="P100" s="33" t="s">
        <v>63</v>
      </c>
      <c r="Q100" s="33" t="s">
        <v>63</v>
      </c>
      <c r="R100" s="33" t="s">
        <v>63</v>
      </c>
      <c r="S100" s="33" t="s">
        <v>67</v>
      </c>
      <c r="T100" s="33" t="s">
        <v>68</v>
      </c>
      <c r="U100" s="33" t="s">
        <v>63</v>
      </c>
      <c r="V100" s="33" t="s">
        <v>69</v>
      </c>
      <c r="W100" s="33" t="s">
        <v>70</v>
      </c>
      <c r="X100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100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100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100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100" s="33" t="s">
        <v>71</v>
      </c>
      <c r="AC100" s="33" t="s">
        <v>72</v>
      </c>
      <c r="AD100" s="33">
        <v>12.3</v>
      </c>
      <c r="AE100" s="33" t="s">
        <v>73</v>
      </c>
      <c r="AF100" s="38" t="s">
        <v>74</v>
      </c>
      <c r="AG100" s="38" t="s">
        <v>75</v>
      </c>
      <c r="AH100" s="33">
        <v>37143</v>
      </c>
      <c r="AI100" s="33" t="s">
        <v>63</v>
      </c>
      <c r="AJ100" s="33" t="s">
        <v>71</v>
      </c>
      <c r="AK100" s="37">
        <v>717.46</v>
      </c>
      <c r="AL100" s="37">
        <v>80.709999999999994</v>
      </c>
      <c r="AM100" s="37">
        <f t="shared" si="14"/>
        <v>614.20309999999995</v>
      </c>
      <c r="AN100" s="37">
        <v>0</v>
      </c>
      <c r="AO100" s="37">
        <v>0</v>
      </c>
      <c r="AP100" s="37">
        <v>0</v>
      </c>
      <c r="AQ100" s="37">
        <v>122.97</v>
      </c>
      <c r="AR100" s="37">
        <v>400</v>
      </c>
      <c r="AS100" s="37">
        <v>45</v>
      </c>
      <c r="AT100" s="37">
        <f t="shared" si="15"/>
        <v>342.45</v>
      </c>
      <c r="AU100" s="47">
        <v>0</v>
      </c>
      <c r="AV100" s="47">
        <v>0</v>
      </c>
      <c r="AW100" s="37">
        <v>0</v>
      </c>
      <c r="AX100" s="37">
        <v>75</v>
      </c>
      <c r="AY100" s="30"/>
      <c r="AZ100" s="30"/>
      <c r="BA100" s="30"/>
      <c r="BB100" s="30"/>
    </row>
    <row r="101" spans="1:54" x14ac:dyDescent="0.25">
      <c r="A101" s="33" t="s">
        <v>82</v>
      </c>
      <c r="B101" s="33" t="s">
        <v>76</v>
      </c>
      <c r="C101" s="39">
        <v>45528</v>
      </c>
      <c r="D101" s="33">
        <v>410152</v>
      </c>
      <c r="E101" s="34" t="s">
        <v>63</v>
      </c>
      <c r="F101" s="33" t="s">
        <v>64</v>
      </c>
      <c r="G101" s="33">
        <v>7.93</v>
      </c>
      <c r="H101" s="33">
        <v>2000</v>
      </c>
      <c r="I101" s="33">
        <f t="shared" si="11"/>
        <v>15860</v>
      </c>
      <c r="J101" s="48">
        <f>WasteShipmentData[[#This Row],[Standardized Volume in lbs]]/2.2</f>
        <v>7209.0909090909081</v>
      </c>
      <c r="K101" s="48">
        <f t="shared" si="13"/>
        <v>16000</v>
      </c>
      <c r="L101" s="33" t="s">
        <v>83</v>
      </c>
      <c r="M101" s="33" t="s">
        <v>63</v>
      </c>
      <c r="N101" s="33" t="s">
        <v>83</v>
      </c>
      <c r="O101" s="33" t="s">
        <v>63</v>
      </c>
      <c r="P101" s="33" t="s">
        <v>63</v>
      </c>
      <c r="Q101" s="33" t="s">
        <v>63</v>
      </c>
      <c r="R101" s="33" t="s">
        <v>63</v>
      </c>
      <c r="S101" s="33" t="s">
        <v>84</v>
      </c>
      <c r="T101" s="33" t="s">
        <v>68</v>
      </c>
      <c r="U101" s="33" t="s">
        <v>63</v>
      </c>
      <c r="V101" s="33" t="s">
        <v>69</v>
      </c>
      <c r="W101" s="33" t="s">
        <v>70</v>
      </c>
      <c r="X101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101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101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101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101" s="33" t="s">
        <v>85</v>
      </c>
      <c r="AC101" s="33" t="s">
        <v>86</v>
      </c>
      <c r="AD101" s="33">
        <v>281.5</v>
      </c>
      <c r="AE101" s="33" t="s">
        <v>87</v>
      </c>
      <c r="AF101" s="38" t="s">
        <v>88</v>
      </c>
      <c r="AG101" s="38" t="s">
        <v>75</v>
      </c>
      <c r="AH101" s="33">
        <v>37660</v>
      </c>
      <c r="AI101" s="33" t="s">
        <v>63</v>
      </c>
      <c r="AJ101" s="33" t="s">
        <v>109</v>
      </c>
      <c r="AK101" s="37">
        <v>0</v>
      </c>
      <c r="AL101" s="37">
        <v>7.5</v>
      </c>
      <c r="AM101" s="37">
        <f t="shared" si="14"/>
        <v>59.474999999999994</v>
      </c>
      <c r="AN101" s="37">
        <v>0</v>
      </c>
      <c r="AO101" s="37">
        <v>0</v>
      </c>
      <c r="AP101" s="37">
        <v>0</v>
      </c>
      <c r="AQ101" s="37">
        <v>0</v>
      </c>
      <c r="AR101" s="37">
        <v>0</v>
      </c>
      <c r="AS101" s="37"/>
      <c r="AT101" s="37">
        <f t="shared" si="15"/>
        <v>0</v>
      </c>
      <c r="AU101" s="47">
        <v>0</v>
      </c>
      <c r="AV101" s="47">
        <v>0</v>
      </c>
      <c r="AW101" s="37">
        <f>G101*-155</f>
        <v>-1229.1499999999999</v>
      </c>
      <c r="AX101" s="37">
        <v>0</v>
      </c>
      <c r="AY101" s="30"/>
      <c r="AZ101" s="30"/>
      <c r="BA101" s="30"/>
      <c r="BB101" s="30"/>
    </row>
    <row r="102" spans="1:54" x14ac:dyDescent="0.25">
      <c r="A102" s="33" t="s">
        <v>79</v>
      </c>
      <c r="B102" s="33" t="s">
        <v>80</v>
      </c>
      <c r="C102" s="39">
        <v>45530</v>
      </c>
      <c r="D102" s="33">
        <v>410153</v>
      </c>
      <c r="E102" s="34" t="s">
        <v>63</v>
      </c>
      <c r="F102" s="33" t="s">
        <v>64</v>
      </c>
      <c r="G102" s="33">
        <v>9.67</v>
      </c>
      <c r="H102" s="33">
        <v>2000</v>
      </c>
      <c r="I102" s="33">
        <f t="shared" si="11"/>
        <v>19340</v>
      </c>
      <c r="J102" s="48">
        <f>WasteShipmentData[[#This Row],[Standardized Volume in lbs]]/2.2</f>
        <v>8790.9090909090901</v>
      </c>
      <c r="K102" s="48">
        <f t="shared" si="13"/>
        <v>16000</v>
      </c>
      <c r="L102" s="33" t="s">
        <v>65</v>
      </c>
      <c r="M102" s="33" t="s">
        <v>63</v>
      </c>
      <c r="N102" s="33" t="s">
        <v>66</v>
      </c>
      <c r="O102" s="33" t="s">
        <v>63</v>
      </c>
      <c r="P102" s="33" t="s">
        <v>63</v>
      </c>
      <c r="Q102" s="33" t="s">
        <v>63</v>
      </c>
      <c r="R102" s="33" t="s">
        <v>63</v>
      </c>
      <c r="S102" s="33" t="s">
        <v>67</v>
      </c>
      <c r="T102" s="33" t="s">
        <v>68</v>
      </c>
      <c r="U102" s="33" t="s">
        <v>63</v>
      </c>
      <c r="V102" s="33" t="s">
        <v>69</v>
      </c>
      <c r="W102" s="33" t="s">
        <v>70</v>
      </c>
      <c r="X102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102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102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102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102" s="33" t="s">
        <v>71</v>
      </c>
      <c r="AC102" s="33" t="s">
        <v>72</v>
      </c>
      <c r="AD102" s="33">
        <v>12.3</v>
      </c>
      <c r="AE102" s="33" t="s">
        <v>73</v>
      </c>
      <c r="AF102" s="38" t="s">
        <v>74</v>
      </c>
      <c r="AG102" s="38" t="s">
        <v>75</v>
      </c>
      <c r="AH102" s="33">
        <v>37143</v>
      </c>
      <c r="AI102" s="33" t="s">
        <v>63</v>
      </c>
      <c r="AJ102" s="33" t="s">
        <v>71</v>
      </c>
      <c r="AK102" s="37">
        <v>717.46</v>
      </c>
      <c r="AL102" s="37">
        <v>80.709999999999994</v>
      </c>
      <c r="AM102" s="37">
        <f t="shared" si="14"/>
        <v>780.46569999999997</v>
      </c>
      <c r="AN102" s="37">
        <v>0</v>
      </c>
      <c r="AO102" s="37">
        <v>0</v>
      </c>
      <c r="AP102" s="37">
        <v>0</v>
      </c>
      <c r="AQ102" s="37">
        <v>122.97</v>
      </c>
      <c r="AR102" s="37">
        <v>400</v>
      </c>
      <c r="AS102" s="37">
        <v>45</v>
      </c>
      <c r="AT102" s="37">
        <f t="shared" si="15"/>
        <v>435.15</v>
      </c>
      <c r="AU102" s="47">
        <v>0</v>
      </c>
      <c r="AV102" s="47">
        <v>0</v>
      </c>
      <c r="AW102" s="37">
        <v>0</v>
      </c>
      <c r="AX102" s="37">
        <v>75</v>
      </c>
      <c r="AY102" s="30"/>
      <c r="AZ102" s="30"/>
      <c r="BA102" s="30"/>
      <c r="BB102" s="30"/>
    </row>
    <row r="103" spans="1:54" x14ac:dyDescent="0.25">
      <c r="A103" s="33" t="s">
        <v>61</v>
      </c>
      <c r="B103" s="33" t="s">
        <v>62</v>
      </c>
      <c r="C103" s="41">
        <v>45530</v>
      </c>
      <c r="D103" s="33">
        <v>410155</v>
      </c>
      <c r="E103" s="34" t="s">
        <v>63</v>
      </c>
      <c r="F103" s="33" t="s">
        <v>64</v>
      </c>
      <c r="G103" s="42">
        <v>1.42</v>
      </c>
      <c r="H103" s="33">
        <v>2000</v>
      </c>
      <c r="I103" s="33">
        <f t="shared" si="11"/>
        <v>2840</v>
      </c>
      <c r="J103" s="48">
        <f>WasteShipmentData[[#This Row],[Standardized Volume in lbs]]/2.2</f>
        <v>1290.9090909090908</v>
      </c>
      <c r="K103" s="48">
        <v>2500</v>
      </c>
      <c r="L103" s="33" t="s">
        <v>65</v>
      </c>
      <c r="M103" s="33" t="s">
        <v>63</v>
      </c>
      <c r="N103" s="33" t="s">
        <v>66</v>
      </c>
      <c r="O103" s="33" t="s">
        <v>63</v>
      </c>
      <c r="P103" s="33" t="s">
        <v>63</v>
      </c>
      <c r="Q103" s="33" t="s">
        <v>63</v>
      </c>
      <c r="R103" s="33" t="s">
        <v>63</v>
      </c>
      <c r="S103" s="33" t="s">
        <v>67</v>
      </c>
      <c r="T103" s="33" t="s">
        <v>68</v>
      </c>
      <c r="U103" s="33" t="s">
        <v>63</v>
      </c>
      <c r="V103" s="33" t="s">
        <v>69</v>
      </c>
      <c r="W103" s="33" t="s">
        <v>70</v>
      </c>
      <c r="X103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103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103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103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103" s="33" t="s">
        <v>71</v>
      </c>
      <c r="AC103" s="33" t="s">
        <v>72</v>
      </c>
      <c r="AD103" s="33">
        <v>12.3</v>
      </c>
      <c r="AE103" s="33" t="s">
        <v>73</v>
      </c>
      <c r="AF103" s="38" t="s">
        <v>74</v>
      </c>
      <c r="AG103" s="38" t="s">
        <v>75</v>
      </c>
      <c r="AH103" s="33">
        <v>37143</v>
      </c>
      <c r="AI103" s="33" t="s">
        <v>63</v>
      </c>
      <c r="AJ103" s="33" t="s">
        <v>71</v>
      </c>
      <c r="AK103" s="37">
        <v>450.98</v>
      </c>
      <c r="AL103" s="37">
        <v>108.58</v>
      </c>
      <c r="AM103" s="37">
        <f t="shared" si="14"/>
        <v>154.18359999999998</v>
      </c>
      <c r="AN103" s="37">
        <v>0</v>
      </c>
      <c r="AO103" s="37">
        <v>0</v>
      </c>
      <c r="AP103" s="37">
        <v>0</v>
      </c>
      <c r="AQ103" s="37">
        <v>0</v>
      </c>
      <c r="AR103" s="37">
        <v>275</v>
      </c>
      <c r="AS103" s="37">
        <v>90</v>
      </c>
      <c r="AT103" s="37">
        <f t="shared" si="15"/>
        <v>127.8</v>
      </c>
      <c r="AU103" s="47">
        <v>0</v>
      </c>
      <c r="AV103" s="47">
        <v>0</v>
      </c>
      <c r="AW103" s="37">
        <v>0</v>
      </c>
      <c r="AX103" s="37">
        <v>0</v>
      </c>
      <c r="AY103" s="30"/>
      <c r="AZ103" s="30"/>
      <c r="BA103" s="30"/>
      <c r="BB103" s="30"/>
    </row>
    <row r="104" spans="1:54" x14ac:dyDescent="0.25">
      <c r="A104" s="33" t="s">
        <v>61</v>
      </c>
      <c r="B104" s="33" t="s">
        <v>62</v>
      </c>
      <c r="C104" s="41">
        <v>45530</v>
      </c>
      <c r="D104" s="33">
        <v>410156</v>
      </c>
      <c r="E104" s="34" t="s">
        <v>63</v>
      </c>
      <c r="F104" s="33" t="s">
        <v>64</v>
      </c>
      <c r="G104" s="42">
        <v>1.37</v>
      </c>
      <c r="H104" s="33">
        <v>2000</v>
      </c>
      <c r="I104" s="33">
        <f t="shared" si="11"/>
        <v>2740</v>
      </c>
      <c r="J104" s="48">
        <f>WasteShipmentData[[#This Row],[Standardized Volume in lbs]]/2.2</f>
        <v>1245.4545454545453</v>
      </c>
      <c r="K104" s="48">
        <v>2500</v>
      </c>
      <c r="L104" s="33" t="s">
        <v>65</v>
      </c>
      <c r="M104" s="33" t="s">
        <v>63</v>
      </c>
      <c r="N104" s="33" t="s">
        <v>66</v>
      </c>
      <c r="O104" s="33" t="s">
        <v>63</v>
      </c>
      <c r="P104" s="33" t="s">
        <v>63</v>
      </c>
      <c r="Q104" s="33" t="s">
        <v>63</v>
      </c>
      <c r="R104" s="33" t="s">
        <v>63</v>
      </c>
      <c r="S104" s="33" t="s">
        <v>67</v>
      </c>
      <c r="T104" s="33" t="s">
        <v>68</v>
      </c>
      <c r="U104" s="33" t="s">
        <v>63</v>
      </c>
      <c r="V104" s="33" t="s">
        <v>69</v>
      </c>
      <c r="W104" s="33" t="s">
        <v>70</v>
      </c>
      <c r="X104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104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104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104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104" s="33" t="s">
        <v>71</v>
      </c>
      <c r="AC104" s="33" t="s">
        <v>72</v>
      </c>
      <c r="AD104" s="33">
        <v>12.3</v>
      </c>
      <c r="AE104" s="33" t="s">
        <v>73</v>
      </c>
      <c r="AF104" s="38" t="s">
        <v>74</v>
      </c>
      <c r="AG104" s="38" t="s">
        <v>75</v>
      </c>
      <c r="AH104" s="33">
        <v>37143</v>
      </c>
      <c r="AI104" s="33" t="s">
        <v>63</v>
      </c>
      <c r="AJ104" s="33" t="s">
        <v>71</v>
      </c>
      <c r="AK104" s="37">
        <v>450.98</v>
      </c>
      <c r="AL104" s="37">
        <v>108.58</v>
      </c>
      <c r="AM104" s="37">
        <f t="shared" si="14"/>
        <v>148.75460000000001</v>
      </c>
      <c r="AN104" s="37">
        <v>0</v>
      </c>
      <c r="AO104" s="37">
        <v>0</v>
      </c>
      <c r="AP104" s="37">
        <v>0</v>
      </c>
      <c r="AQ104" s="37">
        <v>0</v>
      </c>
      <c r="AR104" s="37">
        <v>275</v>
      </c>
      <c r="AS104" s="37">
        <v>90</v>
      </c>
      <c r="AT104" s="37">
        <f t="shared" si="15"/>
        <v>123.30000000000001</v>
      </c>
      <c r="AU104" s="47">
        <v>0</v>
      </c>
      <c r="AV104" s="47">
        <v>0</v>
      </c>
      <c r="AW104" s="37">
        <v>0</v>
      </c>
      <c r="AX104" s="37">
        <v>0</v>
      </c>
      <c r="AY104" s="30"/>
      <c r="AZ104" s="30"/>
      <c r="BA104" s="30"/>
      <c r="BB104" s="30"/>
    </row>
    <row r="105" spans="1:54" x14ac:dyDescent="0.25">
      <c r="A105" s="33" t="s">
        <v>61</v>
      </c>
      <c r="B105" s="33" t="s">
        <v>76</v>
      </c>
      <c r="C105" s="41">
        <v>45530</v>
      </c>
      <c r="D105" s="33">
        <v>410154</v>
      </c>
      <c r="E105" s="34" t="s">
        <v>63</v>
      </c>
      <c r="F105" s="33" t="s">
        <v>64</v>
      </c>
      <c r="G105" s="42">
        <v>2.59</v>
      </c>
      <c r="H105" s="33">
        <v>2000</v>
      </c>
      <c r="I105" s="33">
        <f t="shared" si="11"/>
        <v>5180</v>
      </c>
      <c r="J105" s="48">
        <f>WasteShipmentData[[#This Row],[Standardized Volume in lbs]]/2.2</f>
        <v>2354.5454545454545</v>
      </c>
      <c r="K105" s="48">
        <f>8*2000</f>
        <v>16000</v>
      </c>
      <c r="L105" s="33" t="s">
        <v>65</v>
      </c>
      <c r="M105" s="33" t="s">
        <v>63</v>
      </c>
      <c r="N105" s="33" t="s">
        <v>66</v>
      </c>
      <c r="O105" s="33" t="s">
        <v>63</v>
      </c>
      <c r="P105" s="33" t="s">
        <v>63</v>
      </c>
      <c r="Q105" s="33" t="s">
        <v>63</v>
      </c>
      <c r="R105" s="33" t="s">
        <v>63</v>
      </c>
      <c r="S105" s="33" t="s">
        <v>77</v>
      </c>
      <c r="T105" s="33" t="s">
        <v>78</v>
      </c>
      <c r="U105" s="33" t="s">
        <v>63</v>
      </c>
      <c r="V105" s="33" t="s">
        <v>69</v>
      </c>
      <c r="W105" s="33" t="s">
        <v>70</v>
      </c>
      <c r="X105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105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105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105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105" s="33" t="s">
        <v>71</v>
      </c>
      <c r="AC105" s="33" t="s">
        <v>72</v>
      </c>
      <c r="AD105" s="33">
        <v>12.3</v>
      </c>
      <c r="AE105" s="33" t="s">
        <v>73</v>
      </c>
      <c r="AF105" s="38" t="s">
        <v>74</v>
      </c>
      <c r="AG105" s="38" t="s">
        <v>75</v>
      </c>
      <c r="AH105" s="33">
        <v>37143</v>
      </c>
      <c r="AI105" s="33" t="s">
        <v>63</v>
      </c>
      <c r="AJ105" s="33" t="s">
        <v>71</v>
      </c>
      <c r="AK105" s="37">
        <v>450.98</v>
      </c>
      <c r="AL105" s="37">
        <v>108.58</v>
      </c>
      <c r="AM105" s="37">
        <f t="shared" si="14"/>
        <v>281.22219999999999</v>
      </c>
      <c r="AN105" s="37">
        <v>0</v>
      </c>
      <c r="AO105" s="37">
        <v>0</v>
      </c>
      <c r="AP105" s="37">
        <v>0</v>
      </c>
      <c r="AQ105" s="37">
        <v>0</v>
      </c>
      <c r="AR105" s="37">
        <v>275</v>
      </c>
      <c r="AS105" s="37">
        <v>90</v>
      </c>
      <c r="AT105" s="37">
        <f t="shared" si="15"/>
        <v>233.1</v>
      </c>
      <c r="AU105" s="47">
        <v>0</v>
      </c>
      <c r="AV105" s="47">
        <v>0</v>
      </c>
      <c r="AW105" s="37">
        <v>0</v>
      </c>
      <c r="AX105" s="37">
        <v>0</v>
      </c>
      <c r="AY105" s="30"/>
      <c r="AZ105" s="30"/>
      <c r="BA105" s="30"/>
      <c r="BB105" s="30"/>
    </row>
    <row r="106" spans="1:54" x14ac:dyDescent="0.25">
      <c r="A106" s="33" t="s">
        <v>61</v>
      </c>
      <c r="B106" s="33" t="s">
        <v>62</v>
      </c>
      <c r="C106" s="41">
        <v>45531</v>
      </c>
      <c r="D106" s="33">
        <v>410159</v>
      </c>
      <c r="E106" s="34" t="s">
        <v>63</v>
      </c>
      <c r="F106" s="33" t="s">
        <v>64</v>
      </c>
      <c r="G106" s="42">
        <v>0.85</v>
      </c>
      <c r="H106" s="33">
        <v>2000</v>
      </c>
      <c r="I106" s="33">
        <f t="shared" si="11"/>
        <v>1700</v>
      </c>
      <c r="J106" s="48">
        <f>WasteShipmentData[[#This Row],[Standardized Volume in lbs]]/2.2</f>
        <v>772.72727272727263</v>
      </c>
      <c r="K106" s="48">
        <v>2500</v>
      </c>
      <c r="L106" s="33" t="s">
        <v>65</v>
      </c>
      <c r="M106" s="33" t="s">
        <v>63</v>
      </c>
      <c r="N106" s="33" t="s">
        <v>66</v>
      </c>
      <c r="O106" s="33" t="s">
        <v>63</v>
      </c>
      <c r="P106" s="33" t="s">
        <v>63</v>
      </c>
      <c r="Q106" s="33" t="s">
        <v>63</v>
      </c>
      <c r="R106" s="33" t="s">
        <v>63</v>
      </c>
      <c r="S106" s="33" t="s">
        <v>67</v>
      </c>
      <c r="T106" s="33" t="s">
        <v>68</v>
      </c>
      <c r="U106" s="33" t="s">
        <v>63</v>
      </c>
      <c r="V106" s="33" t="s">
        <v>69</v>
      </c>
      <c r="W106" s="33" t="s">
        <v>70</v>
      </c>
      <c r="X106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106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106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106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106" s="33" t="s">
        <v>71</v>
      </c>
      <c r="AC106" s="42" t="s">
        <v>110</v>
      </c>
      <c r="AD106" s="33">
        <v>26.6</v>
      </c>
      <c r="AE106" s="33" t="s">
        <v>111</v>
      </c>
      <c r="AF106" s="38" t="s">
        <v>97</v>
      </c>
      <c r="AG106" s="38" t="s">
        <v>75</v>
      </c>
      <c r="AH106" s="33">
        <v>37210</v>
      </c>
      <c r="AI106" s="38" t="s">
        <v>63</v>
      </c>
      <c r="AJ106" s="33" t="s">
        <v>71</v>
      </c>
      <c r="AK106" s="37">
        <v>450.98</v>
      </c>
      <c r="AL106" s="37">
        <v>108.58</v>
      </c>
      <c r="AM106" s="37">
        <f t="shared" si="14"/>
        <v>92.292999999999992</v>
      </c>
      <c r="AN106" s="37">
        <v>0</v>
      </c>
      <c r="AO106" s="37">
        <v>0</v>
      </c>
      <c r="AP106" s="37">
        <v>0</v>
      </c>
      <c r="AQ106" s="37">
        <v>0</v>
      </c>
      <c r="AR106" s="37">
        <v>275</v>
      </c>
      <c r="AS106" s="37">
        <v>90</v>
      </c>
      <c r="AT106" s="37">
        <f t="shared" si="15"/>
        <v>76.5</v>
      </c>
      <c r="AU106" s="47">
        <v>0</v>
      </c>
      <c r="AV106" s="47">
        <v>0</v>
      </c>
      <c r="AW106" s="37">
        <v>0</v>
      </c>
      <c r="AX106" s="37">
        <v>0</v>
      </c>
      <c r="AY106" s="30"/>
      <c r="AZ106" s="30"/>
      <c r="BA106" s="30"/>
      <c r="BB106" s="30"/>
    </row>
    <row r="107" spans="1:54" x14ac:dyDescent="0.25">
      <c r="A107" s="33" t="s">
        <v>61</v>
      </c>
      <c r="B107" s="33" t="s">
        <v>62</v>
      </c>
      <c r="C107" s="41">
        <v>45531</v>
      </c>
      <c r="D107" s="33">
        <v>410157</v>
      </c>
      <c r="E107" s="34" t="s">
        <v>63</v>
      </c>
      <c r="F107" s="33" t="s">
        <v>64</v>
      </c>
      <c r="G107" s="42">
        <v>0.67</v>
      </c>
      <c r="H107" s="33">
        <v>2000</v>
      </c>
      <c r="I107" s="33">
        <f t="shared" si="11"/>
        <v>1340</v>
      </c>
      <c r="J107" s="48">
        <f>WasteShipmentData[[#This Row],[Standardized Volume in lbs]]/2.2</f>
        <v>609.09090909090901</v>
      </c>
      <c r="K107" s="48">
        <v>2500</v>
      </c>
      <c r="L107" s="33" t="s">
        <v>65</v>
      </c>
      <c r="M107" s="33" t="s">
        <v>63</v>
      </c>
      <c r="N107" s="33" t="s">
        <v>66</v>
      </c>
      <c r="O107" s="33" t="s">
        <v>63</v>
      </c>
      <c r="P107" s="33" t="s">
        <v>63</v>
      </c>
      <c r="Q107" s="33" t="s">
        <v>63</v>
      </c>
      <c r="R107" s="33" t="s">
        <v>63</v>
      </c>
      <c r="S107" s="33" t="s">
        <v>67</v>
      </c>
      <c r="T107" s="33" t="s">
        <v>68</v>
      </c>
      <c r="U107" s="33" t="s">
        <v>63</v>
      </c>
      <c r="V107" s="33" t="s">
        <v>69</v>
      </c>
      <c r="W107" s="33" t="s">
        <v>70</v>
      </c>
      <c r="X107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107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107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107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107" s="33" t="s">
        <v>71</v>
      </c>
      <c r="AC107" s="33" t="s">
        <v>72</v>
      </c>
      <c r="AD107" s="33">
        <v>12.3</v>
      </c>
      <c r="AE107" s="33" t="s">
        <v>73</v>
      </c>
      <c r="AF107" s="38" t="s">
        <v>74</v>
      </c>
      <c r="AG107" s="38" t="s">
        <v>75</v>
      </c>
      <c r="AH107" s="33">
        <v>37143</v>
      </c>
      <c r="AI107" s="33" t="s">
        <v>63</v>
      </c>
      <c r="AJ107" s="33" t="s">
        <v>71</v>
      </c>
      <c r="AK107" s="37">
        <v>450.98</v>
      </c>
      <c r="AL107" s="37">
        <v>108.58</v>
      </c>
      <c r="AM107" s="37">
        <f t="shared" si="14"/>
        <v>72.748599999999996</v>
      </c>
      <c r="AN107" s="37">
        <v>0</v>
      </c>
      <c r="AO107" s="37">
        <v>0</v>
      </c>
      <c r="AP107" s="37">
        <v>0</v>
      </c>
      <c r="AQ107" s="37">
        <v>0</v>
      </c>
      <c r="AR107" s="37">
        <v>275</v>
      </c>
      <c r="AS107" s="37">
        <v>90</v>
      </c>
      <c r="AT107" s="37">
        <f t="shared" si="15"/>
        <v>60.300000000000004</v>
      </c>
      <c r="AU107" s="47">
        <v>0</v>
      </c>
      <c r="AV107" s="47">
        <v>0</v>
      </c>
      <c r="AW107" s="37">
        <v>0</v>
      </c>
      <c r="AX107" s="37">
        <v>0</v>
      </c>
      <c r="AY107" s="30"/>
      <c r="AZ107" s="30"/>
      <c r="BA107" s="30"/>
      <c r="BB107" s="30"/>
    </row>
    <row r="108" spans="1:54" x14ac:dyDescent="0.25">
      <c r="A108" s="33" t="s">
        <v>61</v>
      </c>
      <c r="B108" s="33" t="s">
        <v>62</v>
      </c>
      <c r="C108" s="41">
        <v>45531</v>
      </c>
      <c r="D108" s="33">
        <v>410158</v>
      </c>
      <c r="E108" s="34" t="s">
        <v>63</v>
      </c>
      <c r="F108" s="33" t="s">
        <v>64</v>
      </c>
      <c r="G108" s="42">
        <v>0.61</v>
      </c>
      <c r="H108" s="33">
        <v>2000</v>
      </c>
      <c r="I108" s="33">
        <f t="shared" si="11"/>
        <v>1220</v>
      </c>
      <c r="J108" s="48">
        <f>WasteShipmentData[[#This Row],[Standardized Volume in lbs]]/2.2</f>
        <v>554.5454545454545</v>
      </c>
      <c r="K108" s="48">
        <v>2500</v>
      </c>
      <c r="L108" s="33" t="s">
        <v>65</v>
      </c>
      <c r="M108" s="33" t="s">
        <v>63</v>
      </c>
      <c r="N108" s="33" t="s">
        <v>66</v>
      </c>
      <c r="O108" s="33" t="s">
        <v>63</v>
      </c>
      <c r="P108" s="33" t="s">
        <v>63</v>
      </c>
      <c r="Q108" s="33" t="s">
        <v>63</v>
      </c>
      <c r="R108" s="33" t="s">
        <v>63</v>
      </c>
      <c r="S108" s="33" t="s">
        <v>67</v>
      </c>
      <c r="T108" s="33" t="s">
        <v>68</v>
      </c>
      <c r="U108" s="33" t="s">
        <v>63</v>
      </c>
      <c r="V108" s="33" t="s">
        <v>69</v>
      </c>
      <c r="W108" s="33" t="s">
        <v>70</v>
      </c>
      <c r="X108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108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108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108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108" s="33" t="s">
        <v>71</v>
      </c>
      <c r="AC108" s="33" t="s">
        <v>72</v>
      </c>
      <c r="AD108" s="33">
        <v>12.3</v>
      </c>
      <c r="AE108" s="33" t="s">
        <v>73</v>
      </c>
      <c r="AF108" s="38" t="s">
        <v>74</v>
      </c>
      <c r="AG108" s="38" t="s">
        <v>75</v>
      </c>
      <c r="AH108" s="33">
        <v>37143</v>
      </c>
      <c r="AI108" s="33" t="s">
        <v>63</v>
      </c>
      <c r="AJ108" s="33" t="s">
        <v>71</v>
      </c>
      <c r="AK108" s="37">
        <v>450.98</v>
      </c>
      <c r="AL108" s="37">
        <v>108.58</v>
      </c>
      <c r="AM108" s="37">
        <f t="shared" si="14"/>
        <v>66.233800000000002</v>
      </c>
      <c r="AN108" s="37">
        <v>0</v>
      </c>
      <c r="AO108" s="37">
        <v>0</v>
      </c>
      <c r="AP108" s="37">
        <v>0</v>
      </c>
      <c r="AQ108" s="37">
        <v>0</v>
      </c>
      <c r="AR108" s="37">
        <v>275</v>
      </c>
      <c r="AS108" s="37">
        <v>90</v>
      </c>
      <c r="AT108" s="37">
        <f t="shared" si="15"/>
        <v>54.9</v>
      </c>
      <c r="AU108" s="47">
        <v>0</v>
      </c>
      <c r="AV108" s="47">
        <v>0</v>
      </c>
      <c r="AW108" s="37">
        <v>0</v>
      </c>
      <c r="AX108" s="37">
        <v>0</v>
      </c>
      <c r="AY108" s="30"/>
      <c r="AZ108" s="30"/>
      <c r="BA108" s="30"/>
      <c r="BB108" s="30"/>
    </row>
    <row r="109" spans="1:54" x14ac:dyDescent="0.25">
      <c r="A109" s="33" t="s">
        <v>82</v>
      </c>
      <c r="B109" s="33" t="s">
        <v>76</v>
      </c>
      <c r="C109" s="39">
        <v>45531</v>
      </c>
      <c r="D109" s="33">
        <v>410160</v>
      </c>
      <c r="E109" s="34" t="s">
        <v>63</v>
      </c>
      <c r="F109" s="33" t="s">
        <v>64</v>
      </c>
      <c r="G109" s="33">
        <v>11.49</v>
      </c>
      <c r="H109" s="33">
        <v>2000</v>
      </c>
      <c r="I109" s="33">
        <f t="shared" si="11"/>
        <v>22980</v>
      </c>
      <c r="J109" s="48">
        <f>WasteShipmentData[[#This Row],[Standardized Volume in lbs]]/2.2</f>
        <v>10445.454545454544</v>
      </c>
      <c r="K109" s="48">
        <f>8*2000</f>
        <v>16000</v>
      </c>
      <c r="L109" s="33" t="s">
        <v>83</v>
      </c>
      <c r="M109" s="33" t="s">
        <v>63</v>
      </c>
      <c r="N109" s="33" t="s">
        <v>83</v>
      </c>
      <c r="O109" s="33" t="s">
        <v>63</v>
      </c>
      <c r="P109" s="33" t="s">
        <v>63</v>
      </c>
      <c r="Q109" s="33" t="s">
        <v>63</v>
      </c>
      <c r="R109" s="33" t="s">
        <v>63</v>
      </c>
      <c r="S109" s="33" t="s">
        <v>84</v>
      </c>
      <c r="T109" s="33" t="s">
        <v>68</v>
      </c>
      <c r="U109" s="33" t="s">
        <v>63</v>
      </c>
      <c r="V109" s="33" t="s">
        <v>69</v>
      </c>
      <c r="W109" s="33" t="s">
        <v>70</v>
      </c>
      <c r="X109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109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109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109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109" s="33" t="s">
        <v>85</v>
      </c>
      <c r="AC109" s="33" t="s">
        <v>86</v>
      </c>
      <c r="AD109" s="33">
        <v>281.5</v>
      </c>
      <c r="AE109" s="33" t="s">
        <v>87</v>
      </c>
      <c r="AF109" s="38" t="s">
        <v>88</v>
      </c>
      <c r="AG109" s="38" t="s">
        <v>75</v>
      </c>
      <c r="AH109" s="33">
        <v>37660</v>
      </c>
      <c r="AI109" s="33" t="s">
        <v>63</v>
      </c>
      <c r="AJ109" s="33" t="s">
        <v>109</v>
      </c>
      <c r="AK109" s="37">
        <v>0</v>
      </c>
      <c r="AL109" s="37">
        <v>7.5</v>
      </c>
      <c r="AM109" s="37">
        <f t="shared" si="14"/>
        <v>86.174999999999997</v>
      </c>
      <c r="AN109" s="37">
        <v>0</v>
      </c>
      <c r="AO109" s="37">
        <v>0</v>
      </c>
      <c r="AP109" s="37">
        <v>0</v>
      </c>
      <c r="AQ109" s="37">
        <v>0</v>
      </c>
      <c r="AR109" s="37">
        <v>0</v>
      </c>
      <c r="AS109" s="37"/>
      <c r="AT109" s="37">
        <f t="shared" si="15"/>
        <v>0</v>
      </c>
      <c r="AU109" s="47">
        <v>0</v>
      </c>
      <c r="AV109" s="47">
        <v>0</v>
      </c>
      <c r="AW109" s="37">
        <f>G109*-155</f>
        <v>-1780.95</v>
      </c>
      <c r="AX109" s="37">
        <v>0</v>
      </c>
      <c r="AY109" s="30"/>
      <c r="AZ109" s="30"/>
      <c r="BA109" s="30"/>
      <c r="BB109" s="30"/>
    </row>
    <row r="110" spans="1:54" x14ac:dyDescent="0.25">
      <c r="A110" s="33" t="s">
        <v>79</v>
      </c>
      <c r="B110" s="33" t="s">
        <v>80</v>
      </c>
      <c r="C110" s="39">
        <v>45532</v>
      </c>
      <c r="D110" s="33">
        <v>410162</v>
      </c>
      <c r="E110" s="34" t="s">
        <v>63</v>
      </c>
      <c r="F110" s="33" t="s">
        <v>64</v>
      </c>
      <c r="G110" s="33">
        <v>9.3699999999999992</v>
      </c>
      <c r="H110" s="33">
        <v>2000</v>
      </c>
      <c r="I110" s="33">
        <f t="shared" si="11"/>
        <v>18740</v>
      </c>
      <c r="J110" s="48">
        <f>WasteShipmentData[[#This Row],[Standardized Volume in lbs]]/2.2</f>
        <v>8518.181818181818</v>
      </c>
      <c r="K110" s="48">
        <f>8*2000</f>
        <v>16000</v>
      </c>
      <c r="L110" s="33" t="s">
        <v>65</v>
      </c>
      <c r="M110" s="33" t="s">
        <v>63</v>
      </c>
      <c r="N110" s="33" t="s">
        <v>66</v>
      </c>
      <c r="O110" s="33" t="s">
        <v>63</v>
      </c>
      <c r="P110" s="33" t="s">
        <v>63</v>
      </c>
      <c r="Q110" s="33" t="s">
        <v>63</v>
      </c>
      <c r="R110" s="33" t="s">
        <v>63</v>
      </c>
      <c r="S110" s="33" t="s">
        <v>67</v>
      </c>
      <c r="T110" s="33" t="s">
        <v>68</v>
      </c>
      <c r="U110" s="33" t="s">
        <v>63</v>
      </c>
      <c r="V110" s="33" t="s">
        <v>69</v>
      </c>
      <c r="W110" s="33" t="s">
        <v>70</v>
      </c>
      <c r="X110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110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110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110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110" s="33" t="s">
        <v>71</v>
      </c>
      <c r="AC110" s="33" t="s">
        <v>72</v>
      </c>
      <c r="AD110" s="33">
        <v>12.3</v>
      </c>
      <c r="AE110" s="33" t="s">
        <v>73</v>
      </c>
      <c r="AF110" s="38" t="s">
        <v>74</v>
      </c>
      <c r="AG110" s="38" t="s">
        <v>75</v>
      </c>
      <c r="AH110" s="33">
        <v>37143</v>
      </c>
      <c r="AI110" s="33" t="s">
        <v>63</v>
      </c>
      <c r="AJ110" s="33" t="s">
        <v>71</v>
      </c>
      <c r="AK110" s="37">
        <v>717.46</v>
      </c>
      <c r="AL110" s="37">
        <v>80.709999999999994</v>
      </c>
      <c r="AM110" s="37">
        <f t="shared" si="14"/>
        <v>756.25269999999989</v>
      </c>
      <c r="AN110" s="37">
        <v>0</v>
      </c>
      <c r="AO110" s="37">
        <v>0</v>
      </c>
      <c r="AP110" s="37">
        <v>0</v>
      </c>
      <c r="AQ110" s="37">
        <v>122.97</v>
      </c>
      <c r="AR110" s="37">
        <v>400</v>
      </c>
      <c r="AS110" s="37">
        <v>45</v>
      </c>
      <c r="AT110" s="37">
        <f t="shared" si="15"/>
        <v>421.65</v>
      </c>
      <c r="AU110" s="47">
        <v>0</v>
      </c>
      <c r="AV110" s="47">
        <v>0</v>
      </c>
      <c r="AW110" s="37">
        <v>0</v>
      </c>
      <c r="AX110" s="37">
        <v>75</v>
      </c>
      <c r="AY110" s="30"/>
      <c r="AZ110" s="30"/>
      <c r="BA110" s="30"/>
      <c r="BB110" s="30"/>
    </row>
    <row r="111" spans="1:54" x14ac:dyDescent="0.25">
      <c r="A111" s="33" t="s">
        <v>81</v>
      </c>
      <c r="B111" s="33" t="s">
        <v>80</v>
      </c>
      <c r="C111" s="39">
        <v>45532</v>
      </c>
      <c r="D111" s="33">
        <v>410161</v>
      </c>
      <c r="E111" s="34" t="s">
        <v>63</v>
      </c>
      <c r="F111" s="33" t="s">
        <v>64</v>
      </c>
      <c r="G111" s="33">
        <v>3.25</v>
      </c>
      <c r="H111" s="33">
        <v>2000</v>
      </c>
      <c r="I111" s="33">
        <f t="shared" si="11"/>
        <v>6500</v>
      </c>
      <c r="J111" s="48">
        <f>WasteShipmentData[[#This Row],[Standardized Volume in lbs]]/2.2</f>
        <v>2954.5454545454545</v>
      </c>
      <c r="K111" s="48">
        <v>2000</v>
      </c>
      <c r="L111" s="33" t="s">
        <v>65</v>
      </c>
      <c r="M111" s="33" t="s">
        <v>63</v>
      </c>
      <c r="N111" s="33" t="s">
        <v>66</v>
      </c>
      <c r="O111" s="33" t="s">
        <v>63</v>
      </c>
      <c r="P111" s="33" t="s">
        <v>63</v>
      </c>
      <c r="Q111" s="33" t="s">
        <v>63</v>
      </c>
      <c r="R111" s="33" t="s">
        <v>63</v>
      </c>
      <c r="S111" s="33" t="s">
        <v>67</v>
      </c>
      <c r="T111" s="33" t="s">
        <v>68</v>
      </c>
      <c r="U111" s="33" t="s">
        <v>63</v>
      </c>
      <c r="V111" s="33" t="s">
        <v>69</v>
      </c>
      <c r="W111" s="33" t="s">
        <v>70</v>
      </c>
      <c r="X111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111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111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111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111" s="33" t="s">
        <v>71</v>
      </c>
      <c r="AC111" s="33" t="s">
        <v>72</v>
      </c>
      <c r="AD111" s="33">
        <v>12.3</v>
      </c>
      <c r="AE111" s="33" t="s">
        <v>73</v>
      </c>
      <c r="AF111" s="38" t="s">
        <v>74</v>
      </c>
      <c r="AG111" s="38" t="s">
        <v>75</v>
      </c>
      <c r="AH111" s="33">
        <v>37143</v>
      </c>
      <c r="AI111" s="33" t="s">
        <v>63</v>
      </c>
      <c r="AJ111" s="33" t="s">
        <v>71</v>
      </c>
      <c r="AK111" s="37">
        <v>717.46</v>
      </c>
      <c r="AL111" s="37">
        <v>80.709999999999994</v>
      </c>
      <c r="AM111" s="37">
        <f t="shared" si="14"/>
        <v>262.3075</v>
      </c>
      <c r="AN111" s="37">
        <v>0</v>
      </c>
      <c r="AO111" s="37">
        <v>0</v>
      </c>
      <c r="AP111" s="37">
        <v>0</v>
      </c>
      <c r="AQ111" s="37">
        <v>122.97</v>
      </c>
      <c r="AR111" s="37">
        <v>400</v>
      </c>
      <c r="AS111" s="37">
        <v>45</v>
      </c>
      <c r="AT111" s="37">
        <f t="shared" si="15"/>
        <v>146.25</v>
      </c>
      <c r="AU111" s="47">
        <v>0</v>
      </c>
      <c r="AV111" s="47">
        <v>0</v>
      </c>
      <c r="AW111" s="37">
        <v>0</v>
      </c>
      <c r="AX111" s="37">
        <v>75</v>
      </c>
      <c r="AY111" s="30"/>
      <c r="AZ111" s="30"/>
      <c r="BA111" s="30"/>
      <c r="BB111" s="30"/>
    </row>
    <row r="112" spans="1:54" x14ac:dyDescent="0.25">
      <c r="A112" s="33" t="s">
        <v>90</v>
      </c>
      <c r="B112" s="33" t="s">
        <v>91</v>
      </c>
      <c r="C112" s="34">
        <v>45532</v>
      </c>
      <c r="D112" s="33">
        <v>410166</v>
      </c>
      <c r="E112" s="34">
        <v>45559</v>
      </c>
      <c r="F112" s="33" t="s">
        <v>93</v>
      </c>
      <c r="G112" s="44">
        <v>11</v>
      </c>
      <c r="H112" s="33">
        <v>550</v>
      </c>
      <c r="I112" s="33">
        <f>WasteShipmentData[[#This Row],[Weight in lbs per unit]]*WasteShipmentData[[#This Row],[Qty]]</f>
        <v>6050</v>
      </c>
      <c r="J112" s="48">
        <f>WasteShipmentData[[#This Row],[Standardized Volume in lbs]]/2.2</f>
        <v>2750</v>
      </c>
      <c r="K112" s="48">
        <v>550</v>
      </c>
      <c r="L112" s="33" t="s">
        <v>65</v>
      </c>
      <c r="M112" s="33" t="s">
        <v>63</v>
      </c>
      <c r="N112" s="33" t="s">
        <v>83</v>
      </c>
      <c r="O112" s="33" t="s">
        <v>63</v>
      </c>
      <c r="P112" s="33" t="s">
        <v>63</v>
      </c>
      <c r="Q112" s="33" t="s">
        <v>63</v>
      </c>
      <c r="R112" s="33" t="s">
        <v>63</v>
      </c>
      <c r="S112" s="33" t="s">
        <v>94</v>
      </c>
      <c r="T112" s="33" t="s">
        <v>68</v>
      </c>
      <c r="U112" s="33">
        <v>41590</v>
      </c>
      <c r="V112" s="33" t="s">
        <v>69</v>
      </c>
      <c r="W112" s="33" t="s">
        <v>70</v>
      </c>
      <c r="X112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112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112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112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112" s="33" t="s">
        <v>95</v>
      </c>
      <c r="AC112" s="33" t="s">
        <v>95</v>
      </c>
      <c r="AD112" s="33">
        <v>26.9</v>
      </c>
      <c r="AE112" s="33" t="s">
        <v>96</v>
      </c>
      <c r="AF112" s="38" t="s">
        <v>97</v>
      </c>
      <c r="AG112" s="38" t="s">
        <v>75</v>
      </c>
      <c r="AH112" s="33">
        <v>37210</v>
      </c>
      <c r="AI112" s="38" t="s">
        <v>98</v>
      </c>
      <c r="AJ112" s="38"/>
      <c r="AK112" s="37">
        <v>30</v>
      </c>
      <c r="AL112" s="37">
        <v>675</v>
      </c>
      <c r="AM112" s="37">
        <f t="shared" si="14"/>
        <v>7425</v>
      </c>
      <c r="AN112" s="37">
        <v>0</v>
      </c>
      <c r="AO112" s="37">
        <v>0</v>
      </c>
      <c r="AP112" s="37">
        <v>0</v>
      </c>
      <c r="AQ112" s="37">
        <v>0</v>
      </c>
      <c r="AR112" s="37">
        <v>0</v>
      </c>
      <c r="AS112" s="37"/>
      <c r="AT112" s="37">
        <f t="shared" si="15"/>
        <v>0</v>
      </c>
      <c r="AU112" s="47">
        <v>0</v>
      </c>
      <c r="AV112" s="47">
        <v>0</v>
      </c>
      <c r="AW112" s="37">
        <v>0</v>
      </c>
      <c r="AX112" s="37">
        <v>0</v>
      </c>
      <c r="AY112" s="30"/>
      <c r="AZ112" s="30"/>
      <c r="BA112" s="30"/>
      <c r="BB112" s="30"/>
    </row>
    <row r="113" spans="1:54" x14ac:dyDescent="0.25">
      <c r="A113" s="33" t="s">
        <v>99</v>
      </c>
      <c r="B113" s="33" t="s">
        <v>91</v>
      </c>
      <c r="C113" s="34">
        <v>45532</v>
      </c>
      <c r="D113" s="33">
        <v>410163</v>
      </c>
      <c r="E113" s="34">
        <v>45559</v>
      </c>
      <c r="F113" s="33" t="s">
        <v>93</v>
      </c>
      <c r="G113" s="44">
        <v>9</v>
      </c>
      <c r="H113" s="33">
        <v>420</v>
      </c>
      <c r="I113" s="33">
        <f>WasteShipmentData[[#This Row],[Weight in lbs per unit]]*WasteShipmentData[[#This Row],[Qty]]</f>
        <v>3780</v>
      </c>
      <c r="J113" s="48">
        <f>WasteShipmentData[[#This Row],[Standardized Volume in lbs]]/2.2</f>
        <v>1718.181818181818</v>
      </c>
      <c r="K113" s="48">
        <v>420</v>
      </c>
      <c r="L113" s="33" t="s">
        <v>100</v>
      </c>
      <c r="M113" s="33" t="s">
        <v>101</v>
      </c>
      <c r="N113" s="33" t="s">
        <v>102</v>
      </c>
      <c r="O113" s="33" t="s">
        <v>103</v>
      </c>
      <c r="P113" s="36" t="s">
        <v>104</v>
      </c>
      <c r="Q113" s="33" t="s">
        <v>105</v>
      </c>
      <c r="R113" s="33" t="s">
        <v>106</v>
      </c>
      <c r="S113" s="33" t="s">
        <v>94</v>
      </c>
      <c r="T113" s="33" t="s">
        <v>68</v>
      </c>
      <c r="U113" s="33">
        <v>41587</v>
      </c>
      <c r="V113" s="33" t="s">
        <v>69</v>
      </c>
      <c r="W113" s="33" t="s">
        <v>70</v>
      </c>
      <c r="X113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113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113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113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113" s="33" t="s">
        <v>95</v>
      </c>
      <c r="AC113" s="33" t="s">
        <v>95</v>
      </c>
      <c r="AD113" s="33">
        <v>26.9</v>
      </c>
      <c r="AE113" s="33" t="s">
        <v>96</v>
      </c>
      <c r="AF113" s="38" t="s">
        <v>97</v>
      </c>
      <c r="AG113" s="38" t="s">
        <v>75</v>
      </c>
      <c r="AH113" s="33">
        <v>37210</v>
      </c>
      <c r="AI113" s="38" t="s">
        <v>98</v>
      </c>
      <c r="AJ113" s="38"/>
      <c r="AK113" s="37">
        <v>30</v>
      </c>
      <c r="AL113" s="37">
        <v>125</v>
      </c>
      <c r="AM113" s="37">
        <f t="shared" si="14"/>
        <v>1125</v>
      </c>
      <c r="AN113" s="37">
        <v>0</v>
      </c>
      <c r="AO113" s="37">
        <v>0</v>
      </c>
      <c r="AP113" s="37">
        <v>0</v>
      </c>
      <c r="AQ113" s="37">
        <v>0</v>
      </c>
      <c r="AR113" s="37">
        <v>0</v>
      </c>
      <c r="AS113" s="37"/>
      <c r="AT113" s="37">
        <f t="shared" si="15"/>
        <v>0</v>
      </c>
      <c r="AU113" s="47">
        <v>0</v>
      </c>
      <c r="AV113" s="47">
        <v>0</v>
      </c>
      <c r="AW113" s="37">
        <v>0</v>
      </c>
      <c r="AX113" s="37">
        <v>0</v>
      </c>
      <c r="AY113" s="30"/>
      <c r="AZ113" s="30"/>
      <c r="BA113" s="30"/>
      <c r="BB113" s="30"/>
    </row>
    <row r="114" spans="1:54" x14ac:dyDescent="0.25">
      <c r="A114" s="33" t="s">
        <v>107</v>
      </c>
      <c r="B114" s="33" t="s">
        <v>91</v>
      </c>
      <c r="C114" s="34">
        <v>45532</v>
      </c>
      <c r="D114" s="33">
        <v>410164</v>
      </c>
      <c r="E114" s="34">
        <v>45559</v>
      </c>
      <c r="F114" s="33" t="s">
        <v>93</v>
      </c>
      <c r="G114" s="44">
        <v>14</v>
      </c>
      <c r="H114" s="33">
        <v>420</v>
      </c>
      <c r="I114" s="33">
        <f>WasteShipmentData[[#This Row],[Weight in lbs per unit]]*WasteShipmentData[[#This Row],[Qty]]</f>
        <v>5880</v>
      </c>
      <c r="J114" s="48">
        <f>WasteShipmentData[[#This Row],[Standardized Volume in lbs]]/2.2</f>
        <v>2672.7272727272725</v>
      </c>
      <c r="K114" s="48">
        <v>420</v>
      </c>
      <c r="L114" s="33" t="s">
        <v>100</v>
      </c>
      <c r="M114" s="33" t="s">
        <v>101</v>
      </c>
      <c r="N114" s="33" t="s">
        <v>102</v>
      </c>
      <c r="O114" s="33" t="s">
        <v>103</v>
      </c>
      <c r="P114" s="36" t="s">
        <v>104</v>
      </c>
      <c r="Q114" s="33" t="s">
        <v>105</v>
      </c>
      <c r="R114" s="33" t="s">
        <v>106</v>
      </c>
      <c r="S114" s="33" t="s">
        <v>94</v>
      </c>
      <c r="T114" s="33" t="s">
        <v>68</v>
      </c>
      <c r="U114" s="33">
        <v>41588</v>
      </c>
      <c r="V114" s="33" t="s">
        <v>69</v>
      </c>
      <c r="W114" s="33" t="s">
        <v>70</v>
      </c>
      <c r="X114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114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114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114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114" s="33" t="s">
        <v>95</v>
      </c>
      <c r="AC114" s="33" t="s">
        <v>95</v>
      </c>
      <c r="AD114" s="33">
        <v>26.9</v>
      </c>
      <c r="AE114" s="33" t="s">
        <v>96</v>
      </c>
      <c r="AF114" s="38" t="s">
        <v>97</v>
      </c>
      <c r="AG114" s="38" t="s">
        <v>75</v>
      </c>
      <c r="AH114" s="33">
        <v>37210</v>
      </c>
      <c r="AI114" s="38" t="s">
        <v>98</v>
      </c>
      <c r="AJ114" s="38"/>
      <c r="AK114" s="37">
        <v>30</v>
      </c>
      <c r="AL114" s="37">
        <v>125</v>
      </c>
      <c r="AM114" s="37">
        <f t="shared" si="14"/>
        <v>1750</v>
      </c>
      <c r="AN114" s="37">
        <v>0</v>
      </c>
      <c r="AO114" s="37">
        <v>0</v>
      </c>
      <c r="AP114" s="37">
        <v>0</v>
      </c>
      <c r="AQ114" s="37">
        <v>0</v>
      </c>
      <c r="AR114" s="37">
        <v>0</v>
      </c>
      <c r="AS114" s="37"/>
      <c r="AT114" s="37">
        <f t="shared" si="15"/>
        <v>0</v>
      </c>
      <c r="AU114" s="47">
        <v>0</v>
      </c>
      <c r="AV114" s="47">
        <v>0</v>
      </c>
      <c r="AW114" s="37">
        <v>0</v>
      </c>
      <c r="AX114" s="37">
        <v>0</v>
      </c>
      <c r="AY114" s="30"/>
      <c r="AZ114" s="30"/>
      <c r="BA114" s="30"/>
      <c r="BB114" s="30"/>
    </row>
    <row r="115" spans="1:54" x14ac:dyDescent="0.25">
      <c r="A115" s="33" t="s">
        <v>108</v>
      </c>
      <c r="B115" s="33" t="s">
        <v>91</v>
      </c>
      <c r="C115" s="34">
        <v>45532</v>
      </c>
      <c r="D115" s="33">
        <v>410165</v>
      </c>
      <c r="E115" s="34">
        <v>45559</v>
      </c>
      <c r="F115" s="33" t="s">
        <v>93</v>
      </c>
      <c r="G115" s="44">
        <v>22</v>
      </c>
      <c r="H115" s="33">
        <v>300</v>
      </c>
      <c r="I115" s="33">
        <f>WasteShipmentData[[#This Row],[Weight in lbs per unit]]*WasteShipmentData[[#This Row],[Qty]]</f>
        <v>6600</v>
      </c>
      <c r="J115" s="48">
        <f>WasteShipmentData[[#This Row],[Standardized Volume in lbs]]/2.2</f>
        <v>2999.9999999999995</v>
      </c>
      <c r="K115" s="48">
        <v>2000</v>
      </c>
      <c r="L115" s="33" t="s">
        <v>100</v>
      </c>
      <c r="M115" s="33" t="s">
        <v>101</v>
      </c>
      <c r="N115" s="33" t="s">
        <v>102</v>
      </c>
      <c r="O115" s="33" t="s">
        <v>103</v>
      </c>
      <c r="P115" s="36" t="s">
        <v>104</v>
      </c>
      <c r="Q115" s="33" t="s">
        <v>105</v>
      </c>
      <c r="R115" s="33" t="s">
        <v>106</v>
      </c>
      <c r="S115" s="33" t="s">
        <v>94</v>
      </c>
      <c r="T115" s="33" t="s">
        <v>68</v>
      </c>
      <c r="U115" s="33">
        <v>41589</v>
      </c>
      <c r="V115" s="33" t="s">
        <v>69</v>
      </c>
      <c r="W115" s="33" t="s">
        <v>70</v>
      </c>
      <c r="X115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115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115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115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115" s="33" t="s">
        <v>95</v>
      </c>
      <c r="AC115" s="33" t="s">
        <v>95</v>
      </c>
      <c r="AD115" s="33">
        <v>26.9</v>
      </c>
      <c r="AE115" s="33" t="s">
        <v>96</v>
      </c>
      <c r="AF115" s="38" t="s">
        <v>97</v>
      </c>
      <c r="AG115" s="38" t="s">
        <v>75</v>
      </c>
      <c r="AH115" s="33">
        <v>37210</v>
      </c>
      <c r="AI115" s="38" t="s">
        <v>98</v>
      </c>
      <c r="AJ115" s="38"/>
      <c r="AK115" s="37">
        <v>30</v>
      </c>
      <c r="AL115" s="37">
        <v>425</v>
      </c>
      <c r="AM115" s="37">
        <f t="shared" si="14"/>
        <v>9350</v>
      </c>
      <c r="AN115" s="37">
        <v>0</v>
      </c>
      <c r="AO115" s="37">
        <v>0</v>
      </c>
      <c r="AP115" s="37">
        <v>0</v>
      </c>
      <c r="AQ115" s="37">
        <v>0</v>
      </c>
      <c r="AR115" s="37">
        <v>0</v>
      </c>
      <c r="AS115" s="37"/>
      <c r="AT115" s="37">
        <f t="shared" si="15"/>
        <v>0</v>
      </c>
      <c r="AU115" s="47">
        <v>0</v>
      </c>
      <c r="AV115" s="47">
        <v>0</v>
      </c>
      <c r="AW115" s="37">
        <v>0</v>
      </c>
      <c r="AX115" s="37">
        <v>0</v>
      </c>
      <c r="AY115" s="30"/>
      <c r="AZ115" s="30"/>
      <c r="BA115" s="30"/>
      <c r="BB115" s="30"/>
    </row>
    <row r="116" spans="1:54" x14ac:dyDescent="0.25">
      <c r="A116" s="33" t="s">
        <v>61</v>
      </c>
      <c r="B116" s="33" t="s">
        <v>62</v>
      </c>
      <c r="C116" s="41">
        <v>45533</v>
      </c>
      <c r="D116" s="33">
        <v>410168</v>
      </c>
      <c r="E116" s="34" t="s">
        <v>63</v>
      </c>
      <c r="F116" s="33" t="s">
        <v>64</v>
      </c>
      <c r="G116" s="42">
        <v>2.58</v>
      </c>
      <c r="H116" s="33">
        <v>2000</v>
      </c>
      <c r="I116" s="33">
        <f t="shared" ref="I116:I147" si="16">G116*2000</f>
        <v>5160</v>
      </c>
      <c r="J116" s="48">
        <f>WasteShipmentData[[#This Row],[Standardized Volume in lbs]]/2.2</f>
        <v>2345.454545454545</v>
      </c>
      <c r="K116" s="48">
        <v>2500</v>
      </c>
      <c r="L116" s="33" t="s">
        <v>65</v>
      </c>
      <c r="M116" s="33" t="s">
        <v>63</v>
      </c>
      <c r="N116" s="33" t="s">
        <v>66</v>
      </c>
      <c r="O116" s="33" t="s">
        <v>63</v>
      </c>
      <c r="P116" s="33" t="s">
        <v>63</v>
      </c>
      <c r="Q116" s="33" t="s">
        <v>63</v>
      </c>
      <c r="R116" s="33" t="s">
        <v>63</v>
      </c>
      <c r="S116" s="33" t="s">
        <v>67</v>
      </c>
      <c r="T116" s="33" t="s">
        <v>68</v>
      </c>
      <c r="U116" s="33" t="s">
        <v>63</v>
      </c>
      <c r="V116" s="33" t="s">
        <v>69</v>
      </c>
      <c r="W116" s="33" t="s">
        <v>70</v>
      </c>
      <c r="X116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116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116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116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116" s="33" t="s">
        <v>71</v>
      </c>
      <c r="AC116" s="33" t="s">
        <v>72</v>
      </c>
      <c r="AD116" s="33">
        <v>12.3</v>
      </c>
      <c r="AE116" s="33" t="s">
        <v>73</v>
      </c>
      <c r="AF116" s="38" t="s">
        <v>74</v>
      </c>
      <c r="AG116" s="38" t="s">
        <v>75</v>
      </c>
      <c r="AH116" s="33">
        <v>37143</v>
      </c>
      <c r="AI116" s="33" t="s">
        <v>63</v>
      </c>
      <c r="AJ116" s="33" t="s">
        <v>71</v>
      </c>
      <c r="AK116" s="37">
        <v>450.98</v>
      </c>
      <c r="AL116" s="37">
        <v>108.58</v>
      </c>
      <c r="AM116" s="37">
        <f t="shared" si="14"/>
        <v>280.13639999999998</v>
      </c>
      <c r="AN116" s="37">
        <v>0</v>
      </c>
      <c r="AO116" s="37">
        <v>0</v>
      </c>
      <c r="AP116" s="37">
        <v>0</v>
      </c>
      <c r="AQ116" s="37">
        <v>0</v>
      </c>
      <c r="AR116" s="37">
        <v>275</v>
      </c>
      <c r="AS116" s="37">
        <v>90</v>
      </c>
      <c r="AT116" s="37">
        <f t="shared" si="15"/>
        <v>232.20000000000002</v>
      </c>
      <c r="AU116" s="47">
        <v>0</v>
      </c>
      <c r="AV116" s="47">
        <v>0</v>
      </c>
      <c r="AW116" s="37">
        <v>0</v>
      </c>
      <c r="AX116" s="37">
        <v>0</v>
      </c>
      <c r="AY116" s="30"/>
      <c r="AZ116" s="30"/>
      <c r="BA116" s="30"/>
      <c r="BB116" s="30"/>
    </row>
    <row r="117" spans="1:54" x14ac:dyDescent="0.25">
      <c r="A117" s="33" t="s">
        <v>61</v>
      </c>
      <c r="B117" s="33" t="s">
        <v>62</v>
      </c>
      <c r="C117" s="41">
        <v>45533</v>
      </c>
      <c r="D117" s="33">
        <v>410167</v>
      </c>
      <c r="E117" s="34" t="s">
        <v>63</v>
      </c>
      <c r="F117" s="33" t="s">
        <v>64</v>
      </c>
      <c r="G117" s="42">
        <v>5.59</v>
      </c>
      <c r="H117" s="33">
        <v>2000</v>
      </c>
      <c r="I117" s="33">
        <f t="shared" si="16"/>
        <v>11180</v>
      </c>
      <c r="J117" s="48">
        <f>WasteShipmentData[[#This Row],[Standardized Volume in lbs]]/2.2</f>
        <v>5081.8181818181811</v>
      </c>
      <c r="K117" s="48">
        <f t="shared" ref="K117:K123" si="17">8*2000</f>
        <v>16000</v>
      </c>
      <c r="L117" s="33" t="s">
        <v>65</v>
      </c>
      <c r="M117" s="33" t="s">
        <v>63</v>
      </c>
      <c r="N117" s="33" t="s">
        <v>66</v>
      </c>
      <c r="O117" s="33" t="s">
        <v>63</v>
      </c>
      <c r="P117" s="33" t="s">
        <v>63</v>
      </c>
      <c r="Q117" s="33" t="s">
        <v>63</v>
      </c>
      <c r="R117" s="33" t="s">
        <v>63</v>
      </c>
      <c r="S117" s="33" t="s">
        <v>77</v>
      </c>
      <c r="T117" s="33" t="s">
        <v>78</v>
      </c>
      <c r="U117" s="33" t="s">
        <v>63</v>
      </c>
      <c r="V117" s="33" t="s">
        <v>69</v>
      </c>
      <c r="W117" s="33" t="s">
        <v>70</v>
      </c>
      <c r="X117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117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117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117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117" s="33" t="s">
        <v>71</v>
      </c>
      <c r="AC117" s="33" t="s">
        <v>72</v>
      </c>
      <c r="AD117" s="33">
        <v>12.3</v>
      </c>
      <c r="AE117" s="33" t="s">
        <v>73</v>
      </c>
      <c r="AF117" s="38" t="s">
        <v>74</v>
      </c>
      <c r="AG117" s="38" t="s">
        <v>75</v>
      </c>
      <c r="AH117" s="33">
        <v>37143</v>
      </c>
      <c r="AI117" s="33" t="s">
        <v>63</v>
      </c>
      <c r="AJ117" s="33" t="s">
        <v>71</v>
      </c>
      <c r="AK117" s="37">
        <v>450.98</v>
      </c>
      <c r="AL117" s="37">
        <v>108.58</v>
      </c>
      <c r="AM117" s="37">
        <f t="shared" si="14"/>
        <v>606.96219999999994</v>
      </c>
      <c r="AN117" s="37">
        <v>0</v>
      </c>
      <c r="AO117" s="37">
        <v>0</v>
      </c>
      <c r="AP117" s="37">
        <v>0</v>
      </c>
      <c r="AQ117" s="37">
        <v>0</v>
      </c>
      <c r="AR117" s="37">
        <v>275</v>
      </c>
      <c r="AS117" s="37">
        <v>90</v>
      </c>
      <c r="AT117" s="37">
        <f t="shared" si="15"/>
        <v>503.09999999999997</v>
      </c>
      <c r="AU117" s="47">
        <v>0</v>
      </c>
      <c r="AV117" s="47">
        <v>0</v>
      </c>
      <c r="AW117" s="37">
        <v>0</v>
      </c>
      <c r="AX117" s="37">
        <v>0</v>
      </c>
      <c r="AY117" s="30"/>
      <c r="AZ117" s="30"/>
      <c r="BA117" s="30"/>
      <c r="BB117" s="30"/>
    </row>
    <row r="118" spans="1:54" x14ac:dyDescent="0.25">
      <c r="A118" s="33" t="s">
        <v>82</v>
      </c>
      <c r="B118" s="33" t="s">
        <v>76</v>
      </c>
      <c r="C118" s="39">
        <v>45533</v>
      </c>
      <c r="D118" s="33">
        <v>410169</v>
      </c>
      <c r="E118" s="34" t="s">
        <v>63</v>
      </c>
      <c r="F118" s="33" t="s">
        <v>64</v>
      </c>
      <c r="G118" s="33">
        <v>22.26</v>
      </c>
      <c r="H118" s="33">
        <v>2000</v>
      </c>
      <c r="I118" s="33">
        <f t="shared" si="16"/>
        <v>44520</v>
      </c>
      <c r="J118" s="48">
        <f>WasteShipmentData[[#This Row],[Standardized Volume in lbs]]/2.2</f>
        <v>20236.363636363636</v>
      </c>
      <c r="K118" s="48">
        <f t="shared" si="17"/>
        <v>16000</v>
      </c>
      <c r="L118" s="33" t="s">
        <v>83</v>
      </c>
      <c r="M118" s="33" t="s">
        <v>63</v>
      </c>
      <c r="N118" s="33" t="s">
        <v>83</v>
      </c>
      <c r="O118" s="33" t="s">
        <v>63</v>
      </c>
      <c r="P118" s="33" t="s">
        <v>63</v>
      </c>
      <c r="Q118" s="33" t="s">
        <v>63</v>
      </c>
      <c r="R118" s="33" t="s">
        <v>63</v>
      </c>
      <c r="S118" s="33" t="s">
        <v>84</v>
      </c>
      <c r="T118" s="33" t="s">
        <v>68</v>
      </c>
      <c r="U118" s="33" t="s">
        <v>63</v>
      </c>
      <c r="V118" s="33" t="s">
        <v>69</v>
      </c>
      <c r="W118" s="33" t="s">
        <v>70</v>
      </c>
      <c r="X118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118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118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118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118" s="33" t="s">
        <v>85</v>
      </c>
      <c r="AC118" s="33" t="s">
        <v>86</v>
      </c>
      <c r="AD118" s="33">
        <v>281.5</v>
      </c>
      <c r="AE118" s="33" t="s">
        <v>87</v>
      </c>
      <c r="AF118" s="38" t="s">
        <v>88</v>
      </c>
      <c r="AG118" s="38" t="s">
        <v>75</v>
      </c>
      <c r="AH118" s="33">
        <v>37660</v>
      </c>
      <c r="AI118" s="33" t="s">
        <v>63</v>
      </c>
      <c r="AJ118" s="33" t="s">
        <v>109</v>
      </c>
      <c r="AK118" s="37">
        <v>0</v>
      </c>
      <c r="AL118" s="37">
        <v>7.5</v>
      </c>
      <c r="AM118" s="37">
        <f t="shared" si="14"/>
        <v>166.95000000000002</v>
      </c>
      <c r="AN118" s="37">
        <v>0</v>
      </c>
      <c r="AO118" s="37">
        <v>0</v>
      </c>
      <c r="AP118" s="37">
        <v>0</v>
      </c>
      <c r="AQ118" s="37">
        <v>0</v>
      </c>
      <c r="AR118" s="37">
        <v>0</v>
      </c>
      <c r="AS118" s="37"/>
      <c r="AT118" s="37">
        <f t="shared" si="15"/>
        <v>0</v>
      </c>
      <c r="AU118" s="47">
        <v>0</v>
      </c>
      <c r="AV118" s="47">
        <v>0</v>
      </c>
      <c r="AW118" s="37">
        <f>G118*-155</f>
        <v>-3450.3</v>
      </c>
      <c r="AX118" s="37">
        <v>0</v>
      </c>
      <c r="AY118" s="30"/>
      <c r="AZ118" s="30"/>
      <c r="BA118" s="30"/>
      <c r="BB118" s="30"/>
    </row>
    <row r="119" spans="1:54" x14ac:dyDescent="0.25">
      <c r="A119" s="33" t="s">
        <v>79</v>
      </c>
      <c r="B119" s="33" t="s">
        <v>80</v>
      </c>
      <c r="C119" s="39">
        <v>45534</v>
      </c>
      <c r="D119" s="33">
        <v>410170</v>
      </c>
      <c r="E119" s="34" t="s">
        <v>63</v>
      </c>
      <c r="F119" s="33" t="s">
        <v>64</v>
      </c>
      <c r="G119" s="33">
        <v>9.8000000000000007</v>
      </c>
      <c r="H119" s="33">
        <v>2000</v>
      </c>
      <c r="I119" s="33">
        <f t="shared" si="16"/>
        <v>19600</v>
      </c>
      <c r="J119" s="48">
        <f>WasteShipmentData[[#This Row],[Standardized Volume in lbs]]/2.2</f>
        <v>8909.0909090909081</v>
      </c>
      <c r="K119" s="48">
        <f t="shared" si="17"/>
        <v>16000</v>
      </c>
      <c r="L119" s="33" t="s">
        <v>65</v>
      </c>
      <c r="M119" s="33" t="s">
        <v>63</v>
      </c>
      <c r="N119" s="33" t="s">
        <v>66</v>
      </c>
      <c r="O119" s="33" t="s">
        <v>63</v>
      </c>
      <c r="P119" s="33" t="s">
        <v>63</v>
      </c>
      <c r="Q119" s="33" t="s">
        <v>63</v>
      </c>
      <c r="R119" s="33" t="s">
        <v>63</v>
      </c>
      <c r="S119" s="33" t="s">
        <v>67</v>
      </c>
      <c r="T119" s="33" t="s">
        <v>68</v>
      </c>
      <c r="U119" s="33" t="s">
        <v>63</v>
      </c>
      <c r="V119" s="33" t="s">
        <v>69</v>
      </c>
      <c r="W119" s="33" t="s">
        <v>70</v>
      </c>
      <c r="X119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119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119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119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119" s="33" t="s">
        <v>71</v>
      </c>
      <c r="AC119" s="33" t="s">
        <v>72</v>
      </c>
      <c r="AD119" s="33">
        <v>12.3</v>
      </c>
      <c r="AE119" s="33" t="s">
        <v>73</v>
      </c>
      <c r="AF119" s="38" t="s">
        <v>74</v>
      </c>
      <c r="AG119" s="38" t="s">
        <v>75</v>
      </c>
      <c r="AH119" s="33">
        <v>37143</v>
      </c>
      <c r="AI119" s="33" t="s">
        <v>63</v>
      </c>
      <c r="AJ119" s="33" t="s">
        <v>71</v>
      </c>
      <c r="AK119" s="37">
        <v>717.46</v>
      </c>
      <c r="AL119" s="37">
        <v>80.709999999999994</v>
      </c>
      <c r="AM119" s="37">
        <f t="shared" si="14"/>
        <v>790.95799999999997</v>
      </c>
      <c r="AN119" s="37">
        <v>0</v>
      </c>
      <c r="AO119" s="37">
        <v>0</v>
      </c>
      <c r="AP119" s="37">
        <v>0</v>
      </c>
      <c r="AQ119" s="37">
        <v>122.97</v>
      </c>
      <c r="AR119" s="37">
        <v>400</v>
      </c>
      <c r="AS119" s="37">
        <v>45</v>
      </c>
      <c r="AT119" s="37">
        <f t="shared" si="15"/>
        <v>441.00000000000006</v>
      </c>
      <c r="AU119" s="47">
        <v>0</v>
      </c>
      <c r="AV119" s="47">
        <v>0</v>
      </c>
      <c r="AW119" s="37">
        <v>0</v>
      </c>
      <c r="AX119" s="37">
        <v>75</v>
      </c>
      <c r="AY119" s="30"/>
      <c r="AZ119" s="30"/>
      <c r="BA119" s="30"/>
      <c r="BB119" s="30"/>
    </row>
    <row r="120" spans="1:54" x14ac:dyDescent="0.25">
      <c r="A120" s="33" t="s">
        <v>79</v>
      </c>
      <c r="B120" s="33" t="s">
        <v>80</v>
      </c>
      <c r="C120" s="39">
        <v>45538</v>
      </c>
      <c r="D120" s="33">
        <v>410172</v>
      </c>
      <c r="E120" s="34" t="s">
        <v>63</v>
      </c>
      <c r="F120" s="33" t="s">
        <v>64</v>
      </c>
      <c r="G120" s="33">
        <v>13.5</v>
      </c>
      <c r="H120" s="33">
        <v>2000</v>
      </c>
      <c r="I120" s="33">
        <f t="shared" si="16"/>
        <v>27000</v>
      </c>
      <c r="J120" s="48">
        <f>WasteShipmentData[[#This Row],[Standardized Volume in lbs]]/2.2</f>
        <v>12272.727272727272</v>
      </c>
      <c r="K120" s="48">
        <f t="shared" si="17"/>
        <v>16000</v>
      </c>
      <c r="L120" s="33" t="s">
        <v>65</v>
      </c>
      <c r="M120" s="33" t="s">
        <v>63</v>
      </c>
      <c r="N120" s="33" t="s">
        <v>66</v>
      </c>
      <c r="O120" s="33" t="s">
        <v>63</v>
      </c>
      <c r="P120" s="33" t="s">
        <v>63</v>
      </c>
      <c r="Q120" s="33" t="s">
        <v>63</v>
      </c>
      <c r="R120" s="33" t="s">
        <v>63</v>
      </c>
      <c r="S120" s="33" t="s">
        <v>67</v>
      </c>
      <c r="T120" s="33" t="s">
        <v>68</v>
      </c>
      <c r="U120" s="33" t="s">
        <v>63</v>
      </c>
      <c r="V120" s="33" t="s">
        <v>69</v>
      </c>
      <c r="W120" s="33" t="s">
        <v>70</v>
      </c>
      <c r="X120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120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120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120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120" s="33" t="s">
        <v>71</v>
      </c>
      <c r="AC120" s="33" t="s">
        <v>72</v>
      </c>
      <c r="AD120" s="33">
        <v>12.3</v>
      </c>
      <c r="AE120" s="33" t="s">
        <v>73</v>
      </c>
      <c r="AF120" s="38" t="s">
        <v>74</v>
      </c>
      <c r="AG120" s="38" t="s">
        <v>75</v>
      </c>
      <c r="AH120" s="33">
        <v>37143</v>
      </c>
      <c r="AI120" s="33" t="s">
        <v>63</v>
      </c>
      <c r="AJ120" s="33" t="s">
        <v>71</v>
      </c>
      <c r="AK120" s="37">
        <v>717.46</v>
      </c>
      <c r="AL120" s="37">
        <v>80.709999999999994</v>
      </c>
      <c r="AM120" s="37">
        <f t="shared" si="14"/>
        <v>1089.5849999999998</v>
      </c>
      <c r="AN120" s="37">
        <v>0</v>
      </c>
      <c r="AO120" s="37">
        <v>0</v>
      </c>
      <c r="AP120" s="37">
        <v>0</v>
      </c>
      <c r="AQ120" s="37">
        <v>122.97</v>
      </c>
      <c r="AR120" s="37">
        <v>400</v>
      </c>
      <c r="AS120" s="37">
        <v>45</v>
      </c>
      <c r="AT120" s="37">
        <f t="shared" si="15"/>
        <v>607.5</v>
      </c>
      <c r="AU120" s="47">
        <v>0</v>
      </c>
      <c r="AV120" s="47">
        <v>0</v>
      </c>
      <c r="AW120" s="37">
        <v>0</v>
      </c>
      <c r="AX120" s="37">
        <v>75</v>
      </c>
      <c r="AY120" s="30"/>
      <c r="AZ120" s="30"/>
      <c r="BA120" s="30"/>
      <c r="BB120" s="30"/>
    </row>
    <row r="121" spans="1:54" x14ac:dyDescent="0.25">
      <c r="A121" s="33" t="s">
        <v>79</v>
      </c>
      <c r="B121" s="33" t="s">
        <v>80</v>
      </c>
      <c r="C121" s="39">
        <v>45538</v>
      </c>
      <c r="D121" s="33">
        <v>410173</v>
      </c>
      <c r="E121" s="34" t="s">
        <v>63</v>
      </c>
      <c r="F121" s="33" t="s">
        <v>64</v>
      </c>
      <c r="G121" s="33">
        <v>14</v>
      </c>
      <c r="H121" s="33">
        <v>2000</v>
      </c>
      <c r="I121" s="33">
        <f t="shared" si="16"/>
        <v>28000</v>
      </c>
      <c r="J121" s="48">
        <f>WasteShipmentData[[#This Row],[Standardized Volume in lbs]]/2.2</f>
        <v>12727.272727272726</v>
      </c>
      <c r="K121" s="48">
        <f t="shared" si="17"/>
        <v>16000</v>
      </c>
      <c r="L121" s="33" t="s">
        <v>65</v>
      </c>
      <c r="M121" s="33" t="s">
        <v>63</v>
      </c>
      <c r="N121" s="33" t="s">
        <v>66</v>
      </c>
      <c r="O121" s="33" t="s">
        <v>63</v>
      </c>
      <c r="P121" s="33" t="s">
        <v>63</v>
      </c>
      <c r="Q121" s="33" t="s">
        <v>63</v>
      </c>
      <c r="R121" s="33" t="s">
        <v>63</v>
      </c>
      <c r="S121" s="33" t="s">
        <v>67</v>
      </c>
      <c r="T121" s="33" t="s">
        <v>68</v>
      </c>
      <c r="U121" s="33" t="s">
        <v>63</v>
      </c>
      <c r="V121" s="33" t="s">
        <v>69</v>
      </c>
      <c r="W121" s="33" t="s">
        <v>70</v>
      </c>
      <c r="X121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121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121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121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121" s="33" t="s">
        <v>71</v>
      </c>
      <c r="AC121" s="33" t="s">
        <v>72</v>
      </c>
      <c r="AD121" s="33">
        <v>12.3</v>
      </c>
      <c r="AE121" s="33" t="s">
        <v>73</v>
      </c>
      <c r="AF121" s="38" t="s">
        <v>74</v>
      </c>
      <c r="AG121" s="38" t="s">
        <v>75</v>
      </c>
      <c r="AH121" s="33">
        <v>37143</v>
      </c>
      <c r="AI121" s="33" t="s">
        <v>63</v>
      </c>
      <c r="AJ121" s="33" t="s">
        <v>71</v>
      </c>
      <c r="AK121" s="37">
        <v>717.46</v>
      </c>
      <c r="AL121" s="37">
        <v>80.709999999999994</v>
      </c>
      <c r="AM121" s="37">
        <f t="shared" si="14"/>
        <v>1129.9399999999998</v>
      </c>
      <c r="AN121" s="37">
        <v>0</v>
      </c>
      <c r="AO121" s="37">
        <v>0</v>
      </c>
      <c r="AP121" s="37">
        <v>0</v>
      </c>
      <c r="AQ121" s="37">
        <v>122.97</v>
      </c>
      <c r="AR121" s="37">
        <v>400</v>
      </c>
      <c r="AS121" s="37">
        <v>45</v>
      </c>
      <c r="AT121" s="37">
        <f t="shared" si="15"/>
        <v>630</v>
      </c>
      <c r="AU121" s="47">
        <v>0</v>
      </c>
      <c r="AV121" s="47">
        <v>0</v>
      </c>
      <c r="AW121" s="37">
        <v>0</v>
      </c>
      <c r="AX121" s="37">
        <v>75</v>
      </c>
      <c r="AY121" s="30"/>
      <c r="AZ121" s="30"/>
      <c r="BA121" s="30"/>
      <c r="BB121" s="30"/>
    </row>
    <row r="122" spans="1:54" x14ac:dyDescent="0.25">
      <c r="A122" s="33" t="s">
        <v>61</v>
      </c>
      <c r="B122" s="33" t="s">
        <v>62</v>
      </c>
      <c r="C122" s="39">
        <v>45538</v>
      </c>
      <c r="D122" s="33">
        <v>410171</v>
      </c>
      <c r="E122" s="34" t="s">
        <v>63</v>
      </c>
      <c r="F122" s="33" t="s">
        <v>64</v>
      </c>
      <c r="G122" s="33">
        <v>2.46</v>
      </c>
      <c r="H122" s="33">
        <v>2000</v>
      </c>
      <c r="I122" s="33">
        <f t="shared" si="16"/>
        <v>4920</v>
      </c>
      <c r="J122" s="48">
        <f>WasteShipmentData[[#This Row],[Standardized Volume in lbs]]/2.2</f>
        <v>2236.363636363636</v>
      </c>
      <c r="K122" s="48">
        <f t="shared" si="17"/>
        <v>16000</v>
      </c>
      <c r="L122" s="33" t="s">
        <v>65</v>
      </c>
      <c r="M122" s="33" t="s">
        <v>63</v>
      </c>
      <c r="N122" s="33" t="s">
        <v>66</v>
      </c>
      <c r="O122" s="33" t="s">
        <v>63</v>
      </c>
      <c r="P122" s="33" t="s">
        <v>63</v>
      </c>
      <c r="Q122" s="33" t="s">
        <v>63</v>
      </c>
      <c r="R122" s="33" t="s">
        <v>63</v>
      </c>
      <c r="S122" s="33" t="s">
        <v>77</v>
      </c>
      <c r="T122" s="33" t="s">
        <v>78</v>
      </c>
      <c r="U122" s="33" t="s">
        <v>63</v>
      </c>
      <c r="V122" s="33" t="s">
        <v>69</v>
      </c>
      <c r="W122" s="33" t="s">
        <v>70</v>
      </c>
      <c r="X122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122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122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122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122" s="33" t="s">
        <v>71</v>
      </c>
      <c r="AC122" s="33" t="s">
        <v>72</v>
      </c>
      <c r="AD122" s="33">
        <v>12.3</v>
      </c>
      <c r="AE122" s="33" t="s">
        <v>73</v>
      </c>
      <c r="AF122" s="38" t="s">
        <v>74</v>
      </c>
      <c r="AG122" s="38" t="s">
        <v>75</v>
      </c>
      <c r="AH122" s="33">
        <v>37143</v>
      </c>
      <c r="AI122" s="33" t="s">
        <v>63</v>
      </c>
      <c r="AJ122" s="33" t="s">
        <v>71</v>
      </c>
      <c r="AK122" s="37">
        <v>450.98</v>
      </c>
      <c r="AL122" s="37">
        <v>108.58</v>
      </c>
      <c r="AM122" s="37">
        <f t="shared" si="14"/>
        <v>267.10679999999996</v>
      </c>
      <c r="AN122" s="37">
        <v>0</v>
      </c>
      <c r="AO122" s="37">
        <v>0</v>
      </c>
      <c r="AP122" s="37">
        <v>0</v>
      </c>
      <c r="AQ122" s="37">
        <v>0</v>
      </c>
      <c r="AR122" s="37">
        <v>275</v>
      </c>
      <c r="AS122" s="37">
        <v>90</v>
      </c>
      <c r="AT122" s="37">
        <f t="shared" si="15"/>
        <v>221.4</v>
      </c>
      <c r="AU122" s="47">
        <v>0</v>
      </c>
      <c r="AV122" s="47">
        <v>0</v>
      </c>
      <c r="AW122" s="37">
        <v>0</v>
      </c>
      <c r="AX122" s="37">
        <v>0</v>
      </c>
      <c r="AY122" s="30"/>
      <c r="AZ122" s="30"/>
      <c r="BA122" s="30"/>
      <c r="BB122" s="30"/>
    </row>
    <row r="123" spans="1:54" x14ac:dyDescent="0.25">
      <c r="A123" s="33" t="s">
        <v>79</v>
      </c>
      <c r="B123" s="33" t="s">
        <v>80</v>
      </c>
      <c r="C123" s="39">
        <v>45539</v>
      </c>
      <c r="D123" s="33">
        <v>410176</v>
      </c>
      <c r="E123" s="34" t="s">
        <v>63</v>
      </c>
      <c r="F123" s="33" t="s">
        <v>64</v>
      </c>
      <c r="G123" s="33">
        <v>10.35</v>
      </c>
      <c r="H123" s="33">
        <v>2000</v>
      </c>
      <c r="I123" s="33">
        <f t="shared" si="16"/>
        <v>20700</v>
      </c>
      <c r="J123" s="48">
        <f>WasteShipmentData[[#This Row],[Standardized Volume in lbs]]/2.2</f>
        <v>9409.0909090909081</v>
      </c>
      <c r="K123" s="48">
        <f t="shared" si="17"/>
        <v>16000</v>
      </c>
      <c r="L123" s="33" t="s">
        <v>65</v>
      </c>
      <c r="M123" s="33" t="s">
        <v>63</v>
      </c>
      <c r="N123" s="33" t="s">
        <v>66</v>
      </c>
      <c r="O123" s="33" t="s">
        <v>63</v>
      </c>
      <c r="P123" s="33" t="s">
        <v>63</v>
      </c>
      <c r="Q123" s="33" t="s">
        <v>63</v>
      </c>
      <c r="R123" s="33" t="s">
        <v>63</v>
      </c>
      <c r="S123" s="33" t="s">
        <v>67</v>
      </c>
      <c r="T123" s="33" t="s">
        <v>68</v>
      </c>
      <c r="U123" s="33" t="s">
        <v>63</v>
      </c>
      <c r="V123" s="33" t="s">
        <v>69</v>
      </c>
      <c r="W123" s="33" t="s">
        <v>70</v>
      </c>
      <c r="X123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123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123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123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123" s="33" t="s">
        <v>71</v>
      </c>
      <c r="AC123" s="33" t="s">
        <v>72</v>
      </c>
      <c r="AD123" s="33">
        <v>12.3</v>
      </c>
      <c r="AE123" s="33" t="s">
        <v>73</v>
      </c>
      <c r="AF123" s="38" t="s">
        <v>74</v>
      </c>
      <c r="AG123" s="38" t="s">
        <v>75</v>
      </c>
      <c r="AH123" s="33">
        <v>37143</v>
      </c>
      <c r="AI123" s="33" t="s">
        <v>63</v>
      </c>
      <c r="AJ123" s="33" t="s">
        <v>71</v>
      </c>
      <c r="AK123" s="37">
        <v>717.46</v>
      </c>
      <c r="AL123" s="37">
        <v>80.709999999999994</v>
      </c>
      <c r="AM123" s="37">
        <f t="shared" si="14"/>
        <v>835.34849999999994</v>
      </c>
      <c r="AN123" s="37">
        <v>0</v>
      </c>
      <c r="AO123" s="37">
        <v>0</v>
      </c>
      <c r="AP123" s="37">
        <v>0</v>
      </c>
      <c r="AQ123" s="37">
        <v>122.97</v>
      </c>
      <c r="AR123" s="37">
        <v>400</v>
      </c>
      <c r="AS123" s="37">
        <v>45</v>
      </c>
      <c r="AT123" s="37">
        <f t="shared" si="15"/>
        <v>465.75</v>
      </c>
      <c r="AU123" s="47">
        <v>0</v>
      </c>
      <c r="AV123" s="47">
        <v>0</v>
      </c>
      <c r="AW123" s="37">
        <v>0</v>
      </c>
      <c r="AX123" s="37">
        <v>75</v>
      </c>
      <c r="AY123" s="30"/>
      <c r="AZ123" s="30"/>
      <c r="BA123" s="30"/>
      <c r="BB123" s="30"/>
    </row>
    <row r="124" spans="1:54" x14ac:dyDescent="0.25">
      <c r="A124" s="33" t="s">
        <v>61</v>
      </c>
      <c r="B124" s="33" t="s">
        <v>62</v>
      </c>
      <c r="C124" s="39">
        <v>45539</v>
      </c>
      <c r="D124" s="33">
        <v>410174</v>
      </c>
      <c r="E124" s="34" t="s">
        <v>63</v>
      </c>
      <c r="F124" s="33" t="s">
        <v>64</v>
      </c>
      <c r="G124" s="33">
        <v>2.64</v>
      </c>
      <c r="H124" s="33">
        <v>2000</v>
      </c>
      <c r="I124" s="33">
        <f t="shared" si="16"/>
        <v>5280</v>
      </c>
      <c r="J124" s="48">
        <f>WasteShipmentData[[#This Row],[Standardized Volume in lbs]]/2.2</f>
        <v>2400</v>
      </c>
      <c r="K124" s="48">
        <v>2500</v>
      </c>
      <c r="L124" s="33" t="s">
        <v>65</v>
      </c>
      <c r="M124" s="33" t="s">
        <v>63</v>
      </c>
      <c r="N124" s="33" t="s">
        <v>66</v>
      </c>
      <c r="O124" s="33" t="s">
        <v>63</v>
      </c>
      <c r="P124" s="33" t="s">
        <v>63</v>
      </c>
      <c r="Q124" s="33" t="s">
        <v>63</v>
      </c>
      <c r="R124" s="33" t="s">
        <v>63</v>
      </c>
      <c r="S124" s="33" t="s">
        <v>67</v>
      </c>
      <c r="T124" s="33" t="s">
        <v>68</v>
      </c>
      <c r="U124" s="33" t="s">
        <v>63</v>
      </c>
      <c r="V124" s="33" t="s">
        <v>69</v>
      </c>
      <c r="W124" s="33" t="s">
        <v>70</v>
      </c>
      <c r="X124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124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124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124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124" s="33" t="s">
        <v>71</v>
      </c>
      <c r="AC124" s="33" t="s">
        <v>72</v>
      </c>
      <c r="AD124" s="33">
        <v>12.3</v>
      </c>
      <c r="AE124" s="33" t="s">
        <v>73</v>
      </c>
      <c r="AF124" s="38" t="s">
        <v>74</v>
      </c>
      <c r="AG124" s="38" t="s">
        <v>75</v>
      </c>
      <c r="AH124" s="33">
        <v>37143</v>
      </c>
      <c r="AI124" s="33" t="s">
        <v>63</v>
      </c>
      <c r="AJ124" s="33" t="s">
        <v>71</v>
      </c>
      <c r="AK124" s="37">
        <v>450.98</v>
      </c>
      <c r="AL124" s="37">
        <v>108.58</v>
      </c>
      <c r="AM124" s="37">
        <f t="shared" si="14"/>
        <v>286.65120000000002</v>
      </c>
      <c r="AN124" s="37">
        <v>0</v>
      </c>
      <c r="AO124" s="37">
        <v>0</v>
      </c>
      <c r="AP124" s="37">
        <v>0</v>
      </c>
      <c r="AQ124" s="37">
        <v>0</v>
      </c>
      <c r="AR124" s="37">
        <v>275</v>
      </c>
      <c r="AS124" s="37">
        <v>90</v>
      </c>
      <c r="AT124" s="37">
        <f t="shared" si="15"/>
        <v>237.60000000000002</v>
      </c>
      <c r="AU124" s="47">
        <v>0</v>
      </c>
      <c r="AV124" s="47">
        <v>0</v>
      </c>
      <c r="AW124" s="37">
        <v>0</v>
      </c>
      <c r="AX124" s="37">
        <v>0</v>
      </c>
      <c r="AY124" s="30"/>
      <c r="AZ124" s="30"/>
      <c r="BA124" s="30"/>
      <c r="BB124" s="30"/>
    </row>
    <row r="125" spans="1:54" x14ac:dyDescent="0.25">
      <c r="A125" s="33" t="s">
        <v>61</v>
      </c>
      <c r="B125" s="33" t="s">
        <v>62</v>
      </c>
      <c r="C125" s="39">
        <v>45539</v>
      </c>
      <c r="D125" s="33">
        <v>410175</v>
      </c>
      <c r="E125" s="34" t="s">
        <v>63</v>
      </c>
      <c r="F125" s="33" t="s">
        <v>64</v>
      </c>
      <c r="G125" s="33">
        <v>1.25</v>
      </c>
      <c r="H125" s="33">
        <v>2000</v>
      </c>
      <c r="I125" s="33">
        <f t="shared" si="16"/>
        <v>2500</v>
      </c>
      <c r="J125" s="48">
        <f>WasteShipmentData[[#This Row],[Standardized Volume in lbs]]/2.2</f>
        <v>1136.3636363636363</v>
      </c>
      <c r="K125" s="48">
        <v>2500</v>
      </c>
      <c r="L125" s="33" t="s">
        <v>65</v>
      </c>
      <c r="M125" s="33" t="s">
        <v>63</v>
      </c>
      <c r="N125" s="33" t="s">
        <v>66</v>
      </c>
      <c r="O125" s="33" t="s">
        <v>63</v>
      </c>
      <c r="P125" s="33" t="s">
        <v>63</v>
      </c>
      <c r="Q125" s="33" t="s">
        <v>63</v>
      </c>
      <c r="R125" s="33" t="s">
        <v>63</v>
      </c>
      <c r="S125" s="33" t="s">
        <v>67</v>
      </c>
      <c r="T125" s="33" t="s">
        <v>68</v>
      </c>
      <c r="U125" s="33" t="s">
        <v>63</v>
      </c>
      <c r="V125" s="33" t="s">
        <v>69</v>
      </c>
      <c r="W125" s="33" t="s">
        <v>70</v>
      </c>
      <c r="X125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125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125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125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125" s="33" t="s">
        <v>71</v>
      </c>
      <c r="AC125" s="33" t="s">
        <v>72</v>
      </c>
      <c r="AD125" s="33">
        <v>12.3</v>
      </c>
      <c r="AE125" s="33" t="s">
        <v>73</v>
      </c>
      <c r="AF125" s="38" t="s">
        <v>74</v>
      </c>
      <c r="AG125" s="38" t="s">
        <v>75</v>
      </c>
      <c r="AH125" s="33">
        <v>37143</v>
      </c>
      <c r="AI125" s="33" t="s">
        <v>63</v>
      </c>
      <c r="AJ125" s="33" t="s">
        <v>71</v>
      </c>
      <c r="AK125" s="37">
        <v>450.98</v>
      </c>
      <c r="AL125" s="37">
        <v>108.58</v>
      </c>
      <c r="AM125" s="37">
        <f t="shared" si="14"/>
        <v>135.72499999999999</v>
      </c>
      <c r="AN125" s="37">
        <v>0</v>
      </c>
      <c r="AO125" s="37">
        <v>0</v>
      </c>
      <c r="AP125" s="37">
        <v>0</v>
      </c>
      <c r="AQ125" s="37">
        <v>0</v>
      </c>
      <c r="AR125" s="37">
        <v>275</v>
      </c>
      <c r="AS125" s="37">
        <v>90</v>
      </c>
      <c r="AT125" s="37">
        <f t="shared" si="15"/>
        <v>112.5</v>
      </c>
      <c r="AU125" s="47">
        <v>0</v>
      </c>
      <c r="AV125" s="47">
        <v>0</v>
      </c>
      <c r="AW125" s="37">
        <v>0</v>
      </c>
      <c r="AX125" s="37">
        <v>0</v>
      </c>
      <c r="AY125" s="30"/>
      <c r="AZ125" s="30"/>
      <c r="BA125" s="30"/>
      <c r="BB125" s="30"/>
    </row>
    <row r="126" spans="1:54" x14ac:dyDescent="0.25">
      <c r="A126" s="33" t="s">
        <v>79</v>
      </c>
      <c r="B126" s="33" t="s">
        <v>80</v>
      </c>
      <c r="C126" s="39">
        <v>45540</v>
      </c>
      <c r="D126" s="33">
        <v>410179</v>
      </c>
      <c r="E126" s="34" t="s">
        <v>63</v>
      </c>
      <c r="F126" s="33" t="s">
        <v>64</v>
      </c>
      <c r="G126" s="33">
        <v>7.52</v>
      </c>
      <c r="H126" s="33">
        <v>2000</v>
      </c>
      <c r="I126" s="33">
        <f t="shared" si="16"/>
        <v>15040</v>
      </c>
      <c r="J126" s="48">
        <f>WasteShipmentData[[#This Row],[Standardized Volume in lbs]]/2.2</f>
        <v>6836.363636363636</v>
      </c>
      <c r="K126" s="48">
        <f>8*2000</f>
        <v>16000</v>
      </c>
      <c r="L126" s="33" t="s">
        <v>65</v>
      </c>
      <c r="M126" s="33" t="s">
        <v>63</v>
      </c>
      <c r="N126" s="33" t="s">
        <v>66</v>
      </c>
      <c r="O126" s="33" t="s">
        <v>63</v>
      </c>
      <c r="P126" s="33" t="s">
        <v>63</v>
      </c>
      <c r="Q126" s="33" t="s">
        <v>63</v>
      </c>
      <c r="R126" s="33" t="s">
        <v>63</v>
      </c>
      <c r="S126" s="33" t="s">
        <v>67</v>
      </c>
      <c r="T126" s="33" t="s">
        <v>68</v>
      </c>
      <c r="U126" s="33" t="s">
        <v>63</v>
      </c>
      <c r="V126" s="33" t="s">
        <v>69</v>
      </c>
      <c r="W126" s="33" t="s">
        <v>70</v>
      </c>
      <c r="X126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126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126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126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126" s="33" t="s">
        <v>71</v>
      </c>
      <c r="AC126" s="33" t="s">
        <v>72</v>
      </c>
      <c r="AD126" s="33">
        <v>12.3</v>
      </c>
      <c r="AE126" s="33" t="s">
        <v>73</v>
      </c>
      <c r="AF126" s="38" t="s">
        <v>74</v>
      </c>
      <c r="AG126" s="38" t="s">
        <v>75</v>
      </c>
      <c r="AH126" s="33">
        <v>37143</v>
      </c>
      <c r="AI126" s="33" t="s">
        <v>63</v>
      </c>
      <c r="AJ126" s="33" t="s">
        <v>71</v>
      </c>
      <c r="AK126" s="37">
        <v>717.46</v>
      </c>
      <c r="AL126" s="37">
        <v>80.709999999999994</v>
      </c>
      <c r="AM126" s="37">
        <f t="shared" si="14"/>
        <v>606.93919999999991</v>
      </c>
      <c r="AN126" s="37">
        <v>0</v>
      </c>
      <c r="AO126" s="37">
        <v>0</v>
      </c>
      <c r="AP126" s="37">
        <v>0</v>
      </c>
      <c r="AQ126" s="37">
        <v>122.97</v>
      </c>
      <c r="AR126" s="37">
        <v>400</v>
      </c>
      <c r="AS126" s="37">
        <v>45</v>
      </c>
      <c r="AT126" s="37">
        <f t="shared" si="15"/>
        <v>338.4</v>
      </c>
      <c r="AU126" s="47">
        <v>0</v>
      </c>
      <c r="AV126" s="47">
        <v>0</v>
      </c>
      <c r="AW126" s="37">
        <v>0</v>
      </c>
      <c r="AX126" s="37">
        <v>75</v>
      </c>
      <c r="AY126" s="30"/>
      <c r="AZ126" s="30"/>
      <c r="BA126" s="30"/>
      <c r="BB126" s="30"/>
    </row>
    <row r="127" spans="1:54" x14ac:dyDescent="0.25">
      <c r="A127" s="33" t="s">
        <v>61</v>
      </c>
      <c r="B127" s="33" t="s">
        <v>76</v>
      </c>
      <c r="C127" s="39">
        <v>45540</v>
      </c>
      <c r="D127" s="33">
        <v>410177</v>
      </c>
      <c r="E127" s="34" t="s">
        <v>63</v>
      </c>
      <c r="F127" s="33" t="s">
        <v>64</v>
      </c>
      <c r="G127" s="33">
        <v>4.0599999999999996</v>
      </c>
      <c r="H127" s="33">
        <v>2000</v>
      </c>
      <c r="I127" s="33">
        <f t="shared" si="16"/>
        <v>8119.9999999999991</v>
      </c>
      <c r="J127" s="48">
        <f>WasteShipmentData[[#This Row],[Standardized Volume in lbs]]/2.2</f>
        <v>3690.9090909090901</v>
      </c>
      <c r="K127" s="48">
        <f>8*2000</f>
        <v>16000</v>
      </c>
      <c r="L127" s="33" t="s">
        <v>65</v>
      </c>
      <c r="M127" s="33" t="s">
        <v>63</v>
      </c>
      <c r="N127" s="33" t="s">
        <v>66</v>
      </c>
      <c r="O127" s="33" t="s">
        <v>63</v>
      </c>
      <c r="P127" s="33" t="s">
        <v>63</v>
      </c>
      <c r="Q127" s="33" t="s">
        <v>63</v>
      </c>
      <c r="R127" s="33" t="s">
        <v>63</v>
      </c>
      <c r="S127" s="33" t="s">
        <v>77</v>
      </c>
      <c r="T127" s="33" t="s">
        <v>78</v>
      </c>
      <c r="U127" s="33" t="s">
        <v>63</v>
      </c>
      <c r="V127" s="33" t="s">
        <v>69</v>
      </c>
      <c r="W127" s="33" t="s">
        <v>70</v>
      </c>
      <c r="X127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127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127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127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127" s="33" t="s">
        <v>71</v>
      </c>
      <c r="AC127" s="33" t="s">
        <v>72</v>
      </c>
      <c r="AD127" s="33">
        <v>12.3</v>
      </c>
      <c r="AE127" s="33" t="s">
        <v>73</v>
      </c>
      <c r="AF127" s="38" t="s">
        <v>74</v>
      </c>
      <c r="AG127" s="38" t="s">
        <v>75</v>
      </c>
      <c r="AH127" s="33">
        <v>37143</v>
      </c>
      <c r="AI127" s="33" t="s">
        <v>63</v>
      </c>
      <c r="AJ127" s="33" t="s">
        <v>71</v>
      </c>
      <c r="AK127" s="37">
        <v>450.98</v>
      </c>
      <c r="AL127" s="37">
        <v>108.58</v>
      </c>
      <c r="AM127" s="37">
        <f t="shared" si="14"/>
        <v>440.83479999999997</v>
      </c>
      <c r="AN127" s="37">
        <v>0</v>
      </c>
      <c r="AO127" s="37">
        <v>0</v>
      </c>
      <c r="AP127" s="37">
        <v>0</v>
      </c>
      <c r="AQ127" s="37">
        <v>0</v>
      </c>
      <c r="AR127" s="37">
        <v>275</v>
      </c>
      <c r="AS127" s="37">
        <v>90</v>
      </c>
      <c r="AT127" s="37">
        <f t="shared" si="15"/>
        <v>365.4</v>
      </c>
      <c r="AU127" s="47">
        <v>0</v>
      </c>
      <c r="AV127" s="47">
        <v>0</v>
      </c>
      <c r="AW127" s="37">
        <v>0</v>
      </c>
      <c r="AX127" s="37">
        <v>0</v>
      </c>
      <c r="AY127" s="30"/>
      <c r="AZ127" s="30"/>
      <c r="BA127" s="30"/>
      <c r="BB127" s="30"/>
    </row>
    <row r="128" spans="1:54" x14ac:dyDescent="0.25">
      <c r="A128" s="33" t="s">
        <v>61</v>
      </c>
      <c r="B128" s="33" t="s">
        <v>76</v>
      </c>
      <c r="C128" s="39">
        <v>45540</v>
      </c>
      <c r="D128" s="33">
        <v>410178</v>
      </c>
      <c r="E128" s="34" t="s">
        <v>63</v>
      </c>
      <c r="F128" s="33" t="s">
        <v>64</v>
      </c>
      <c r="G128" s="33">
        <v>5.21</v>
      </c>
      <c r="H128" s="33">
        <v>2000</v>
      </c>
      <c r="I128" s="33">
        <f t="shared" si="16"/>
        <v>10420</v>
      </c>
      <c r="J128" s="48">
        <f>WasteShipmentData[[#This Row],[Standardized Volume in lbs]]/2.2</f>
        <v>4736.363636363636</v>
      </c>
      <c r="K128" s="48">
        <f>8*2000</f>
        <v>16000</v>
      </c>
      <c r="L128" s="33" t="s">
        <v>65</v>
      </c>
      <c r="M128" s="33" t="s">
        <v>63</v>
      </c>
      <c r="N128" s="33" t="s">
        <v>66</v>
      </c>
      <c r="O128" s="33" t="s">
        <v>63</v>
      </c>
      <c r="P128" s="33" t="s">
        <v>63</v>
      </c>
      <c r="Q128" s="33" t="s">
        <v>63</v>
      </c>
      <c r="R128" s="33" t="s">
        <v>63</v>
      </c>
      <c r="S128" s="33" t="s">
        <v>77</v>
      </c>
      <c r="T128" s="33" t="s">
        <v>78</v>
      </c>
      <c r="U128" s="33" t="s">
        <v>63</v>
      </c>
      <c r="V128" s="33" t="s">
        <v>69</v>
      </c>
      <c r="W128" s="33" t="s">
        <v>70</v>
      </c>
      <c r="X128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128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128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128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128" s="33" t="s">
        <v>71</v>
      </c>
      <c r="AC128" s="33" t="s">
        <v>72</v>
      </c>
      <c r="AD128" s="33">
        <v>12.3</v>
      </c>
      <c r="AE128" s="33" t="s">
        <v>73</v>
      </c>
      <c r="AF128" s="38" t="s">
        <v>74</v>
      </c>
      <c r="AG128" s="38" t="s">
        <v>75</v>
      </c>
      <c r="AH128" s="33">
        <v>37143</v>
      </c>
      <c r="AI128" s="33" t="s">
        <v>63</v>
      </c>
      <c r="AJ128" s="33" t="s">
        <v>71</v>
      </c>
      <c r="AK128" s="37">
        <v>450.98</v>
      </c>
      <c r="AL128" s="37">
        <v>108.58</v>
      </c>
      <c r="AM128" s="37">
        <f t="shared" si="14"/>
        <v>565.70179999999993</v>
      </c>
      <c r="AN128" s="37">
        <v>0</v>
      </c>
      <c r="AO128" s="37">
        <v>0</v>
      </c>
      <c r="AP128" s="37">
        <v>0</v>
      </c>
      <c r="AQ128" s="37">
        <v>0</v>
      </c>
      <c r="AR128" s="37">
        <v>275</v>
      </c>
      <c r="AS128" s="37">
        <v>90</v>
      </c>
      <c r="AT128" s="37">
        <f t="shared" si="15"/>
        <v>468.9</v>
      </c>
      <c r="AU128" s="47">
        <v>0</v>
      </c>
      <c r="AV128" s="47">
        <v>0</v>
      </c>
      <c r="AW128" s="37">
        <v>0</v>
      </c>
      <c r="AX128" s="37">
        <v>0</v>
      </c>
      <c r="AY128" s="30"/>
      <c r="AZ128" s="30"/>
      <c r="BA128" s="30"/>
      <c r="BB128" s="30"/>
    </row>
    <row r="129" spans="1:54" x14ac:dyDescent="0.25">
      <c r="A129" s="33" t="s">
        <v>79</v>
      </c>
      <c r="B129" s="33" t="s">
        <v>80</v>
      </c>
      <c r="C129" s="39">
        <v>45541</v>
      </c>
      <c r="D129" s="33">
        <v>410182</v>
      </c>
      <c r="E129" s="34" t="s">
        <v>63</v>
      </c>
      <c r="F129" s="33" t="s">
        <v>64</v>
      </c>
      <c r="G129" s="33">
        <v>10</v>
      </c>
      <c r="H129" s="33">
        <v>2000</v>
      </c>
      <c r="I129" s="33">
        <f t="shared" si="16"/>
        <v>20000</v>
      </c>
      <c r="J129" s="48">
        <f>WasteShipmentData[[#This Row],[Standardized Volume in lbs]]/2.2</f>
        <v>9090.9090909090901</v>
      </c>
      <c r="K129" s="48">
        <f>8*2000</f>
        <v>16000</v>
      </c>
      <c r="L129" s="33" t="s">
        <v>65</v>
      </c>
      <c r="M129" s="33" t="s">
        <v>63</v>
      </c>
      <c r="N129" s="33" t="s">
        <v>66</v>
      </c>
      <c r="O129" s="33" t="s">
        <v>63</v>
      </c>
      <c r="P129" s="33" t="s">
        <v>63</v>
      </c>
      <c r="Q129" s="33" t="s">
        <v>63</v>
      </c>
      <c r="R129" s="33" t="s">
        <v>63</v>
      </c>
      <c r="S129" s="33" t="s">
        <v>67</v>
      </c>
      <c r="T129" s="33" t="s">
        <v>68</v>
      </c>
      <c r="U129" s="33" t="s">
        <v>63</v>
      </c>
      <c r="V129" s="33" t="s">
        <v>69</v>
      </c>
      <c r="W129" s="33" t="s">
        <v>70</v>
      </c>
      <c r="X129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129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129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129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129" s="33" t="s">
        <v>71</v>
      </c>
      <c r="AC129" s="33" t="s">
        <v>72</v>
      </c>
      <c r="AD129" s="33">
        <v>12.3</v>
      </c>
      <c r="AE129" s="33" t="s">
        <v>73</v>
      </c>
      <c r="AF129" s="38" t="s">
        <v>74</v>
      </c>
      <c r="AG129" s="38" t="s">
        <v>75</v>
      </c>
      <c r="AH129" s="33">
        <v>37143</v>
      </c>
      <c r="AI129" s="33" t="s">
        <v>63</v>
      </c>
      <c r="AJ129" s="33" t="s">
        <v>71</v>
      </c>
      <c r="AK129" s="37">
        <v>717.46</v>
      </c>
      <c r="AL129" s="37">
        <v>80.709999999999994</v>
      </c>
      <c r="AM129" s="37">
        <f t="shared" si="14"/>
        <v>807.09999999999991</v>
      </c>
      <c r="AN129" s="37">
        <v>0</v>
      </c>
      <c r="AO129" s="37">
        <v>0</v>
      </c>
      <c r="AP129" s="37">
        <v>0</v>
      </c>
      <c r="AQ129" s="37">
        <v>122.97</v>
      </c>
      <c r="AR129" s="37">
        <v>400</v>
      </c>
      <c r="AS129" s="37">
        <v>45</v>
      </c>
      <c r="AT129" s="37">
        <f t="shared" si="15"/>
        <v>450</v>
      </c>
      <c r="AU129" s="47">
        <v>0</v>
      </c>
      <c r="AV129" s="47">
        <v>0</v>
      </c>
      <c r="AW129" s="37">
        <v>0</v>
      </c>
      <c r="AX129" s="37">
        <v>75</v>
      </c>
      <c r="AY129" s="30"/>
      <c r="AZ129" s="30"/>
      <c r="BA129" s="30"/>
      <c r="BB129" s="30"/>
    </row>
    <row r="130" spans="1:54" x14ac:dyDescent="0.25">
      <c r="A130" s="33" t="s">
        <v>61</v>
      </c>
      <c r="B130" s="33" t="s">
        <v>76</v>
      </c>
      <c r="C130" s="39">
        <v>45541</v>
      </c>
      <c r="D130" s="33">
        <v>410181</v>
      </c>
      <c r="E130" s="34" t="s">
        <v>63</v>
      </c>
      <c r="F130" s="33" t="s">
        <v>64</v>
      </c>
      <c r="G130" s="33">
        <v>1.78</v>
      </c>
      <c r="H130" s="33">
        <v>2000</v>
      </c>
      <c r="I130" s="33">
        <f t="shared" si="16"/>
        <v>3560</v>
      </c>
      <c r="J130" s="48">
        <f>WasteShipmentData[[#This Row],[Standardized Volume in lbs]]/2.2</f>
        <v>1618.181818181818</v>
      </c>
      <c r="K130" s="48">
        <v>2500</v>
      </c>
      <c r="L130" s="33" t="s">
        <v>65</v>
      </c>
      <c r="M130" s="33" t="s">
        <v>63</v>
      </c>
      <c r="N130" s="33" t="s">
        <v>66</v>
      </c>
      <c r="O130" s="33" t="s">
        <v>63</v>
      </c>
      <c r="P130" s="33" t="s">
        <v>63</v>
      </c>
      <c r="Q130" s="33" t="s">
        <v>63</v>
      </c>
      <c r="R130" s="33" t="s">
        <v>63</v>
      </c>
      <c r="S130" s="33" t="s">
        <v>67</v>
      </c>
      <c r="T130" s="33" t="s">
        <v>68</v>
      </c>
      <c r="U130" s="33" t="s">
        <v>63</v>
      </c>
      <c r="V130" s="33" t="s">
        <v>69</v>
      </c>
      <c r="W130" s="33" t="s">
        <v>70</v>
      </c>
      <c r="X130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130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130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130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130" s="33" t="s">
        <v>71</v>
      </c>
      <c r="AC130" s="33" t="s">
        <v>110</v>
      </c>
      <c r="AD130" s="33">
        <v>26.6</v>
      </c>
      <c r="AE130" s="33" t="s">
        <v>111</v>
      </c>
      <c r="AF130" s="38" t="s">
        <v>97</v>
      </c>
      <c r="AG130" s="38" t="s">
        <v>75</v>
      </c>
      <c r="AH130" s="33">
        <v>37210</v>
      </c>
      <c r="AI130" s="38" t="s">
        <v>63</v>
      </c>
      <c r="AJ130" s="33" t="s">
        <v>71</v>
      </c>
      <c r="AK130" s="37">
        <v>450.98</v>
      </c>
      <c r="AL130" s="37">
        <v>108.58</v>
      </c>
      <c r="AM130" s="37">
        <f t="shared" si="14"/>
        <v>193.2724</v>
      </c>
      <c r="AN130" s="37">
        <v>0</v>
      </c>
      <c r="AO130" s="37">
        <v>0</v>
      </c>
      <c r="AP130" s="37">
        <v>0</v>
      </c>
      <c r="AQ130" s="37">
        <v>0</v>
      </c>
      <c r="AR130" s="37">
        <v>275</v>
      </c>
      <c r="AS130" s="37">
        <v>90</v>
      </c>
      <c r="AT130" s="37">
        <f t="shared" si="15"/>
        <v>160.19999999999999</v>
      </c>
      <c r="AU130" s="47">
        <v>0</v>
      </c>
      <c r="AV130" s="47">
        <v>0</v>
      </c>
      <c r="AW130" s="37">
        <v>0</v>
      </c>
      <c r="AX130" s="37">
        <v>0</v>
      </c>
      <c r="AY130" s="30"/>
      <c r="AZ130" s="30"/>
      <c r="BA130" s="30"/>
      <c r="BB130" s="30"/>
    </row>
    <row r="131" spans="1:54" x14ac:dyDescent="0.25">
      <c r="A131" s="33" t="s">
        <v>61</v>
      </c>
      <c r="B131" s="33" t="s">
        <v>76</v>
      </c>
      <c r="C131" s="39">
        <v>45541</v>
      </c>
      <c r="D131" s="33">
        <v>410180</v>
      </c>
      <c r="E131" s="34" t="s">
        <v>63</v>
      </c>
      <c r="F131" s="33" t="s">
        <v>64</v>
      </c>
      <c r="G131" s="33">
        <v>1.2</v>
      </c>
      <c r="H131" s="33">
        <v>2000</v>
      </c>
      <c r="I131" s="33">
        <f t="shared" si="16"/>
        <v>2400</v>
      </c>
      <c r="J131" s="48">
        <f>WasteShipmentData[[#This Row],[Standardized Volume in lbs]]/2.2</f>
        <v>1090.9090909090908</v>
      </c>
      <c r="K131" s="48">
        <v>2500</v>
      </c>
      <c r="L131" s="33" t="s">
        <v>65</v>
      </c>
      <c r="M131" s="33" t="s">
        <v>63</v>
      </c>
      <c r="N131" s="33" t="s">
        <v>66</v>
      </c>
      <c r="O131" s="33" t="s">
        <v>63</v>
      </c>
      <c r="P131" s="33" t="s">
        <v>63</v>
      </c>
      <c r="Q131" s="33" t="s">
        <v>63</v>
      </c>
      <c r="R131" s="33" t="s">
        <v>63</v>
      </c>
      <c r="S131" s="33" t="s">
        <v>67</v>
      </c>
      <c r="T131" s="33" t="s">
        <v>68</v>
      </c>
      <c r="U131" s="33" t="s">
        <v>63</v>
      </c>
      <c r="V131" s="33" t="s">
        <v>69</v>
      </c>
      <c r="W131" s="33" t="s">
        <v>70</v>
      </c>
      <c r="X131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131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131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131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131" s="33" t="s">
        <v>71</v>
      </c>
      <c r="AC131" s="33" t="s">
        <v>72</v>
      </c>
      <c r="AD131" s="33">
        <v>12.3</v>
      </c>
      <c r="AE131" s="33" t="s">
        <v>73</v>
      </c>
      <c r="AF131" s="38" t="s">
        <v>74</v>
      </c>
      <c r="AG131" s="38" t="s">
        <v>75</v>
      </c>
      <c r="AH131" s="33">
        <v>37143</v>
      </c>
      <c r="AI131" s="33" t="s">
        <v>63</v>
      </c>
      <c r="AJ131" s="33" t="s">
        <v>71</v>
      </c>
      <c r="AK131" s="37">
        <v>450.98</v>
      </c>
      <c r="AL131" s="37">
        <v>108.58</v>
      </c>
      <c r="AM131" s="37">
        <f t="shared" ref="AM131:AM162" si="18">AL131*G131</f>
        <v>130.29599999999999</v>
      </c>
      <c r="AN131" s="37">
        <v>0</v>
      </c>
      <c r="AO131" s="37">
        <v>0</v>
      </c>
      <c r="AP131" s="37">
        <v>0</v>
      </c>
      <c r="AQ131" s="37">
        <v>0</v>
      </c>
      <c r="AR131" s="37">
        <v>275</v>
      </c>
      <c r="AS131" s="37">
        <v>90</v>
      </c>
      <c r="AT131" s="37">
        <f t="shared" ref="AT131:AT162" si="19">AS131*G131</f>
        <v>108</v>
      </c>
      <c r="AU131" s="47">
        <v>0</v>
      </c>
      <c r="AV131" s="47">
        <v>0</v>
      </c>
      <c r="AW131" s="37">
        <v>0</v>
      </c>
      <c r="AX131" s="37">
        <v>0</v>
      </c>
      <c r="AY131" s="30"/>
      <c r="AZ131" s="30"/>
      <c r="BA131" s="30"/>
      <c r="BB131" s="30"/>
    </row>
    <row r="132" spans="1:54" x14ac:dyDescent="0.25">
      <c r="A132" s="33" t="s">
        <v>82</v>
      </c>
      <c r="B132" s="33" t="s">
        <v>76</v>
      </c>
      <c r="C132" s="39">
        <v>45542</v>
      </c>
      <c r="D132" s="33">
        <v>410183</v>
      </c>
      <c r="E132" s="34" t="s">
        <v>63</v>
      </c>
      <c r="F132" s="33" t="s">
        <v>64</v>
      </c>
      <c r="G132" s="33">
        <v>20.54</v>
      </c>
      <c r="H132" s="33">
        <v>2000</v>
      </c>
      <c r="I132" s="33">
        <f t="shared" si="16"/>
        <v>41080</v>
      </c>
      <c r="J132" s="48">
        <f>WasteShipmentData[[#This Row],[Standardized Volume in lbs]]/2.2</f>
        <v>18672.727272727272</v>
      </c>
      <c r="K132" s="48">
        <f>8*2000</f>
        <v>16000</v>
      </c>
      <c r="L132" s="33" t="s">
        <v>83</v>
      </c>
      <c r="M132" s="33" t="s">
        <v>63</v>
      </c>
      <c r="N132" s="33" t="s">
        <v>83</v>
      </c>
      <c r="O132" s="33" t="s">
        <v>63</v>
      </c>
      <c r="P132" s="33" t="s">
        <v>63</v>
      </c>
      <c r="Q132" s="33" t="s">
        <v>63</v>
      </c>
      <c r="R132" s="33" t="s">
        <v>63</v>
      </c>
      <c r="S132" s="33" t="s">
        <v>84</v>
      </c>
      <c r="T132" s="33" t="s">
        <v>68</v>
      </c>
      <c r="U132" s="33" t="s">
        <v>63</v>
      </c>
      <c r="V132" s="33" t="s">
        <v>69</v>
      </c>
      <c r="W132" s="33" t="s">
        <v>70</v>
      </c>
      <c r="X132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132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132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132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132" s="33" t="s">
        <v>85</v>
      </c>
      <c r="AC132" s="33" t="s">
        <v>86</v>
      </c>
      <c r="AD132" s="33">
        <v>281.5</v>
      </c>
      <c r="AE132" s="33" t="s">
        <v>87</v>
      </c>
      <c r="AF132" s="38" t="s">
        <v>88</v>
      </c>
      <c r="AG132" s="38" t="s">
        <v>75</v>
      </c>
      <c r="AH132" s="33">
        <v>37660</v>
      </c>
      <c r="AI132" s="33" t="s">
        <v>63</v>
      </c>
      <c r="AJ132" s="33" t="s">
        <v>109</v>
      </c>
      <c r="AK132" s="37">
        <v>0</v>
      </c>
      <c r="AL132" s="37">
        <v>7.5</v>
      </c>
      <c r="AM132" s="37">
        <f t="shared" si="18"/>
        <v>154.04999999999998</v>
      </c>
      <c r="AN132" s="37">
        <v>0</v>
      </c>
      <c r="AO132" s="37">
        <v>0</v>
      </c>
      <c r="AP132" s="37">
        <v>0</v>
      </c>
      <c r="AQ132" s="37">
        <v>0</v>
      </c>
      <c r="AR132" s="37">
        <v>0</v>
      </c>
      <c r="AS132" s="37"/>
      <c r="AT132" s="37">
        <f t="shared" si="19"/>
        <v>0</v>
      </c>
      <c r="AU132" s="47">
        <v>0</v>
      </c>
      <c r="AV132" s="47">
        <v>0</v>
      </c>
      <c r="AW132" s="37">
        <f>G132*-155</f>
        <v>-3183.7</v>
      </c>
      <c r="AX132" s="37">
        <v>0</v>
      </c>
      <c r="AY132" s="30"/>
      <c r="AZ132" s="30"/>
      <c r="BA132" s="30"/>
      <c r="BB132" s="30"/>
    </row>
    <row r="133" spans="1:54" x14ac:dyDescent="0.25">
      <c r="A133" s="33" t="s">
        <v>79</v>
      </c>
      <c r="B133" s="33" t="s">
        <v>80</v>
      </c>
      <c r="C133" s="39">
        <v>45544</v>
      </c>
      <c r="D133" s="33">
        <v>410188</v>
      </c>
      <c r="E133" s="34" t="s">
        <v>63</v>
      </c>
      <c r="F133" s="33" t="s">
        <v>64</v>
      </c>
      <c r="G133" s="33">
        <v>10.56</v>
      </c>
      <c r="H133" s="33">
        <v>2000</v>
      </c>
      <c r="I133" s="33">
        <f t="shared" si="16"/>
        <v>21120</v>
      </c>
      <c r="J133" s="48">
        <f>WasteShipmentData[[#This Row],[Standardized Volume in lbs]]/2.2</f>
        <v>9600</v>
      </c>
      <c r="K133" s="48">
        <f>8*2000</f>
        <v>16000</v>
      </c>
      <c r="L133" s="33" t="s">
        <v>65</v>
      </c>
      <c r="M133" s="33" t="s">
        <v>63</v>
      </c>
      <c r="N133" s="33" t="s">
        <v>66</v>
      </c>
      <c r="O133" s="33" t="s">
        <v>63</v>
      </c>
      <c r="P133" s="33" t="s">
        <v>63</v>
      </c>
      <c r="Q133" s="33" t="s">
        <v>63</v>
      </c>
      <c r="R133" s="33" t="s">
        <v>63</v>
      </c>
      <c r="S133" s="33" t="s">
        <v>67</v>
      </c>
      <c r="T133" s="33" t="s">
        <v>68</v>
      </c>
      <c r="U133" s="33" t="s">
        <v>63</v>
      </c>
      <c r="V133" s="33" t="s">
        <v>69</v>
      </c>
      <c r="W133" s="33" t="s">
        <v>70</v>
      </c>
      <c r="X133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133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133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133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133" s="33" t="s">
        <v>71</v>
      </c>
      <c r="AC133" s="33" t="s">
        <v>72</v>
      </c>
      <c r="AD133" s="33">
        <v>12.3</v>
      </c>
      <c r="AE133" s="33" t="s">
        <v>73</v>
      </c>
      <c r="AF133" s="38" t="s">
        <v>74</v>
      </c>
      <c r="AG133" s="38" t="s">
        <v>75</v>
      </c>
      <c r="AH133" s="33">
        <v>37143</v>
      </c>
      <c r="AI133" s="33" t="s">
        <v>63</v>
      </c>
      <c r="AJ133" s="33" t="s">
        <v>71</v>
      </c>
      <c r="AK133" s="37">
        <v>717.46</v>
      </c>
      <c r="AL133" s="37">
        <v>80.709999999999994</v>
      </c>
      <c r="AM133" s="37">
        <f t="shared" si="18"/>
        <v>852.29759999999999</v>
      </c>
      <c r="AN133" s="37">
        <v>0</v>
      </c>
      <c r="AO133" s="37">
        <v>0</v>
      </c>
      <c r="AP133" s="37">
        <v>0</v>
      </c>
      <c r="AQ133" s="37">
        <v>122.97</v>
      </c>
      <c r="AR133" s="37">
        <v>400</v>
      </c>
      <c r="AS133" s="37">
        <v>45</v>
      </c>
      <c r="AT133" s="37">
        <f t="shared" si="19"/>
        <v>475.20000000000005</v>
      </c>
      <c r="AU133" s="47">
        <v>0</v>
      </c>
      <c r="AV133" s="47">
        <v>0</v>
      </c>
      <c r="AW133" s="37">
        <v>0</v>
      </c>
      <c r="AX133" s="37">
        <v>75</v>
      </c>
      <c r="AY133" s="30"/>
      <c r="AZ133" s="30"/>
      <c r="BA133" s="30"/>
      <c r="BB133" s="30"/>
    </row>
    <row r="134" spans="1:54" x14ac:dyDescent="0.25">
      <c r="A134" s="33" t="s">
        <v>61</v>
      </c>
      <c r="B134" s="33" t="s">
        <v>62</v>
      </c>
      <c r="C134" s="39">
        <v>45544</v>
      </c>
      <c r="D134" s="33">
        <v>410184</v>
      </c>
      <c r="E134" s="34" t="s">
        <v>63</v>
      </c>
      <c r="F134" s="33" t="s">
        <v>64</v>
      </c>
      <c r="G134" s="33">
        <v>0.9</v>
      </c>
      <c r="H134" s="33">
        <v>2000</v>
      </c>
      <c r="I134" s="33">
        <f t="shared" si="16"/>
        <v>1800</v>
      </c>
      <c r="J134" s="48">
        <f>WasteShipmentData[[#This Row],[Standardized Volume in lbs]]/2.2</f>
        <v>818.18181818181813</v>
      </c>
      <c r="K134" s="48">
        <v>2500</v>
      </c>
      <c r="L134" s="33" t="s">
        <v>65</v>
      </c>
      <c r="M134" s="33" t="s">
        <v>63</v>
      </c>
      <c r="N134" s="33" t="s">
        <v>66</v>
      </c>
      <c r="O134" s="33" t="s">
        <v>63</v>
      </c>
      <c r="P134" s="33" t="s">
        <v>63</v>
      </c>
      <c r="Q134" s="33" t="s">
        <v>63</v>
      </c>
      <c r="R134" s="33" t="s">
        <v>63</v>
      </c>
      <c r="S134" s="33" t="s">
        <v>67</v>
      </c>
      <c r="T134" s="33" t="s">
        <v>68</v>
      </c>
      <c r="U134" s="33" t="s">
        <v>63</v>
      </c>
      <c r="V134" s="33" t="s">
        <v>69</v>
      </c>
      <c r="W134" s="33" t="s">
        <v>70</v>
      </c>
      <c r="X134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134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134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134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134" s="33" t="s">
        <v>71</v>
      </c>
      <c r="AC134" s="33" t="s">
        <v>72</v>
      </c>
      <c r="AD134" s="33">
        <v>12.3</v>
      </c>
      <c r="AE134" s="33" t="s">
        <v>73</v>
      </c>
      <c r="AF134" s="38" t="s">
        <v>74</v>
      </c>
      <c r="AG134" s="38" t="s">
        <v>75</v>
      </c>
      <c r="AH134" s="33">
        <v>37143</v>
      </c>
      <c r="AI134" s="33" t="s">
        <v>63</v>
      </c>
      <c r="AJ134" s="33" t="s">
        <v>71</v>
      </c>
      <c r="AK134" s="37">
        <v>450.98</v>
      </c>
      <c r="AL134" s="37">
        <v>108.58</v>
      </c>
      <c r="AM134" s="37">
        <f t="shared" si="18"/>
        <v>97.721999999999994</v>
      </c>
      <c r="AN134" s="37">
        <v>0</v>
      </c>
      <c r="AO134" s="37">
        <v>0</v>
      </c>
      <c r="AP134" s="37">
        <v>0</v>
      </c>
      <c r="AQ134" s="37">
        <v>0</v>
      </c>
      <c r="AR134" s="37">
        <v>275</v>
      </c>
      <c r="AS134" s="37">
        <v>90</v>
      </c>
      <c r="AT134" s="37">
        <f t="shared" si="19"/>
        <v>81</v>
      </c>
      <c r="AU134" s="47">
        <v>0</v>
      </c>
      <c r="AV134" s="47">
        <v>0</v>
      </c>
      <c r="AW134" s="37">
        <v>0</v>
      </c>
      <c r="AX134" s="37">
        <v>0</v>
      </c>
      <c r="AY134" s="30"/>
      <c r="AZ134" s="30"/>
      <c r="BA134" s="30"/>
      <c r="BB134" s="30"/>
    </row>
    <row r="135" spans="1:54" x14ac:dyDescent="0.25">
      <c r="A135" s="33" t="s">
        <v>61</v>
      </c>
      <c r="B135" s="33" t="s">
        <v>62</v>
      </c>
      <c r="C135" s="39">
        <v>45544</v>
      </c>
      <c r="D135" s="33">
        <v>410185</v>
      </c>
      <c r="E135" s="34" t="s">
        <v>63</v>
      </c>
      <c r="F135" s="33" t="s">
        <v>64</v>
      </c>
      <c r="G135" s="33">
        <v>0.55000000000000004</v>
      </c>
      <c r="H135" s="33">
        <v>2000</v>
      </c>
      <c r="I135" s="33">
        <f t="shared" si="16"/>
        <v>1100</v>
      </c>
      <c r="J135" s="48">
        <f>WasteShipmentData[[#This Row],[Standardized Volume in lbs]]/2.2</f>
        <v>499.99999999999994</v>
      </c>
      <c r="K135" s="48">
        <v>2500</v>
      </c>
      <c r="L135" s="33" t="s">
        <v>65</v>
      </c>
      <c r="M135" s="33" t="s">
        <v>63</v>
      </c>
      <c r="N135" s="33" t="s">
        <v>66</v>
      </c>
      <c r="O135" s="33" t="s">
        <v>63</v>
      </c>
      <c r="P135" s="33" t="s">
        <v>63</v>
      </c>
      <c r="Q135" s="33" t="s">
        <v>63</v>
      </c>
      <c r="R135" s="33" t="s">
        <v>63</v>
      </c>
      <c r="S135" s="33" t="s">
        <v>67</v>
      </c>
      <c r="T135" s="33" t="s">
        <v>68</v>
      </c>
      <c r="U135" s="33" t="s">
        <v>63</v>
      </c>
      <c r="V135" s="33" t="s">
        <v>69</v>
      </c>
      <c r="W135" s="33" t="s">
        <v>70</v>
      </c>
      <c r="X135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135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135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135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135" s="33" t="s">
        <v>71</v>
      </c>
      <c r="AC135" s="33" t="s">
        <v>72</v>
      </c>
      <c r="AD135" s="33">
        <v>12.3</v>
      </c>
      <c r="AE135" s="33" t="s">
        <v>73</v>
      </c>
      <c r="AF135" s="38" t="s">
        <v>74</v>
      </c>
      <c r="AG135" s="38" t="s">
        <v>75</v>
      </c>
      <c r="AH135" s="33">
        <v>37143</v>
      </c>
      <c r="AI135" s="33" t="s">
        <v>63</v>
      </c>
      <c r="AJ135" s="33" t="s">
        <v>71</v>
      </c>
      <c r="AK135" s="37">
        <v>450.98</v>
      </c>
      <c r="AL135" s="37">
        <v>108.58</v>
      </c>
      <c r="AM135" s="37">
        <f t="shared" si="18"/>
        <v>59.719000000000001</v>
      </c>
      <c r="AN135" s="37">
        <v>0</v>
      </c>
      <c r="AO135" s="37">
        <v>0</v>
      </c>
      <c r="AP135" s="37">
        <v>0</v>
      </c>
      <c r="AQ135" s="37">
        <v>0</v>
      </c>
      <c r="AR135" s="37">
        <v>275</v>
      </c>
      <c r="AS135" s="37">
        <v>90</v>
      </c>
      <c r="AT135" s="37">
        <f t="shared" si="19"/>
        <v>49.500000000000007</v>
      </c>
      <c r="AU135" s="47">
        <v>0</v>
      </c>
      <c r="AV135" s="47">
        <v>0</v>
      </c>
      <c r="AW135" s="37">
        <v>0</v>
      </c>
      <c r="AX135" s="37">
        <v>0</v>
      </c>
      <c r="AY135" s="30"/>
      <c r="AZ135" s="30"/>
      <c r="BA135" s="30"/>
      <c r="BB135" s="30"/>
    </row>
    <row r="136" spans="1:54" x14ac:dyDescent="0.25">
      <c r="A136" s="33" t="s">
        <v>61</v>
      </c>
      <c r="B136" s="33" t="s">
        <v>62</v>
      </c>
      <c r="C136" s="39">
        <v>45544</v>
      </c>
      <c r="D136" s="33">
        <v>410186</v>
      </c>
      <c r="E136" s="34" t="s">
        <v>63</v>
      </c>
      <c r="F136" s="33" t="s">
        <v>64</v>
      </c>
      <c r="G136" s="33">
        <v>3.3</v>
      </c>
      <c r="H136" s="33">
        <v>2000</v>
      </c>
      <c r="I136" s="33">
        <f t="shared" si="16"/>
        <v>6600</v>
      </c>
      <c r="J136" s="48">
        <f>WasteShipmentData[[#This Row],[Standardized Volume in lbs]]/2.2</f>
        <v>2999.9999999999995</v>
      </c>
      <c r="K136" s="48">
        <f>8*2000</f>
        <v>16000</v>
      </c>
      <c r="L136" s="33" t="s">
        <v>65</v>
      </c>
      <c r="M136" s="33" t="s">
        <v>63</v>
      </c>
      <c r="N136" s="33" t="s">
        <v>66</v>
      </c>
      <c r="O136" s="33" t="s">
        <v>63</v>
      </c>
      <c r="P136" s="33" t="s">
        <v>63</v>
      </c>
      <c r="Q136" s="33" t="s">
        <v>63</v>
      </c>
      <c r="R136" s="33" t="s">
        <v>63</v>
      </c>
      <c r="S136" s="33" t="s">
        <v>77</v>
      </c>
      <c r="T136" s="33" t="s">
        <v>78</v>
      </c>
      <c r="U136" s="33" t="s">
        <v>63</v>
      </c>
      <c r="V136" s="33" t="s">
        <v>69</v>
      </c>
      <c r="W136" s="33" t="s">
        <v>70</v>
      </c>
      <c r="X136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136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136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136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136" s="33" t="s">
        <v>71</v>
      </c>
      <c r="AC136" s="33" t="s">
        <v>72</v>
      </c>
      <c r="AD136" s="33">
        <v>12.3</v>
      </c>
      <c r="AE136" s="33" t="s">
        <v>73</v>
      </c>
      <c r="AF136" s="38" t="s">
        <v>74</v>
      </c>
      <c r="AG136" s="38" t="s">
        <v>75</v>
      </c>
      <c r="AH136" s="33">
        <v>37143</v>
      </c>
      <c r="AI136" s="33" t="s">
        <v>63</v>
      </c>
      <c r="AJ136" s="33" t="s">
        <v>71</v>
      </c>
      <c r="AK136" s="37">
        <v>450.98</v>
      </c>
      <c r="AL136" s="37">
        <v>108.58</v>
      </c>
      <c r="AM136" s="37">
        <f t="shared" si="18"/>
        <v>358.31399999999996</v>
      </c>
      <c r="AN136" s="37">
        <v>0</v>
      </c>
      <c r="AO136" s="37">
        <v>0</v>
      </c>
      <c r="AP136" s="37">
        <v>0</v>
      </c>
      <c r="AQ136" s="37">
        <v>0</v>
      </c>
      <c r="AR136" s="37">
        <v>275</v>
      </c>
      <c r="AS136" s="37">
        <v>90</v>
      </c>
      <c r="AT136" s="37">
        <f t="shared" si="19"/>
        <v>297</v>
      </c>
      <c r="AU136" s="47">
        <v>0</v>
      </c>
      <c r="AV136" s="47">
        <v>0</v>
      </c>
      <c r="AW136" s="37">
        <v>0</v>
      </c>
      <c r="AX136" s="37">
        <v>0</v>
      </c>
      <c r="AY136" s="30"/>
      <c r="AZ136" s="30"/>
      <c r="BA136" s="30"/>
      <c r="BB136" s="30"/>
    </row>
    <row r="137" spans="1:54" x14ac:dyDescent="0.25">
      <c r="A137" s="33" t="s">
        <v>61</v>
      </c>
      <c r="B137" s="33" t="s">
        <v>62</v>
      </c>
      <c r="C137" s="39">
        <v>45544</v>
      </c>
      <c r="D137" s="33">
        <v>410187</v>
      </c>
      <c r="E137" s="34" t="s">
        <v>63</v>
      </c>
      <c r="F137" s="33" t="s">
        <v>64</v>
      </c>
      <c r="G137" s="33">
        <v>2.2999999999999998</v>
      </c>
      <c r="H137" s="33">
        <v>2000</v>
      </c>
      <c r="I137" s="33">
        <f t="shared" si="16"/>
        <v>4600</v>
      </c>
      <c r="J137" s="48">
        <f>WasteShipmentData[[#This Row],[Standardized Volume in lbs]]/2.2</f>
        <v>2090.9090909090905</v>
      </c>
      <c r="K137" s="48">
        <f>8*2000</f>
        <v>16000</v>
      </c>
      <c r="L137" s="33" t="s">
        <v>65</v>
      </c>
      <c r="M137" s="33" t="s">
        <v>63</v>
      </c>
      <c r="N137" s="33" t="s">
        <v>66</v>
      </c>
      <c r="O137" s="33" t="s">
        <v>63</v>
      </c>
      <c r="P137" s="33" t="s">
        <v>63</v>
      </c>
      <c r="Q137" s="33" t="s">
        <v>63</v>
      </c>
      <c r="R137" s="33" t="s">
        <v>63</v>
      </c>
      <c r="S137" s="33" t="s">
        <v>77</v>
      </c>
      <c r="T137" s="33" t="s">
        <v>78</v>
      </c>
      <c r="U137" s="33" t="s">
        <v>63</v>
      </c>
      <c r="V137" s="33" t="s">
        <v>69</v>
      </c>
      <c r="W137" s="33" t="s">
        <v>70</v>
      </c>
      <c r="X137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137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137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137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137" s="33" t="s">
        <v>71</v>
      </c>
      <c r="AC137" s="33" t="s">
        <v>72</v>
      </c>
      <c r="AD137" s="33">
        <v>12.3</v>
      </c>
      <c r="AE137" s="33" t="s">
        <v>73</v>
      </c>
      <c r="AF137" s="38" t="s">
        <v>74</v>
      </c>
      <c r="AG137" s="38" t="s">
        <v>75</v>
      </c>
      <c r="AH137" s="33">
        <v>37143</v>
      </c>
      <c r="AI137" s="33" t="s">
        <v>63</v>
      </c>
      <c r="AJ137" s="33" t="s">
        <v>71</v>
      </c>
      <c r="AK137" s="37">
        <v>450.98</v>
      </c>
      <c r="AL137" s="37">
        <v>108.58</v>
      </c>
      <c r="AM137" s="37">
        <f t="shared" si="18"/>
        <v>249.73399999999998</v>
      </c>
      <c r="AN137" s="37">
        <v>0</v>
      </c>
      <c r="AO137" s="37">
        <v>0</v>
      </c>
      <c r="AP137" s="37">
        <v>0</v>
      </c>
      <c r="AQ137" s="37">
        <v>0</v>
      </c>
      <c r="AR137" s="37">
        <v>275</v>
      </c>
      <c r="AS137" s="37">
        <v>90</v>
      </c>
      <c r="AT137" s="37">
        <f t="shared" si="19"/>
        <v>206.99999999999997</v>
      </c>
      <c r="AU137" s="47">
        <v>0</v>
      </c>
      <c r="AV137" s="47">
        <v>0</v>
      </c>
      <c r="AW137" s="37">
        <v>0</v>
      </c>
      <c r="AX137" s="37">
        <v>0</v>
      </c>
      <c r="AY137" s="30"/>
      <c r="AZ137" s="30"/>
      <c r="BA137" s="30"/>
      <c r="BB137" s="30"/>
    </row>
    <row r="138" spans="1:54" x14ac:dyDescent="0.25">
      <c r="A138" s="33" t="s">
        <v>79</v>
      </c>
      <c r="B138" s="33" t="s">
        <v>80</v>
      </c>
      <c r="C138" s="39">
        <v>45545</v>
      </c>
      <c r="D138" s="33">
        <v>410189</v>
      </c>
      <c r="E138" s="34" t="s">
        <v>63</v>
      </c>
      <c r="F138" s="33" t="s">
        <v>64</v>
      </c>
      <c r="G138" s="33">
        <v>10.07</v>
      </c>
      <c r="H138" s="33">
        <v>2000</v>
      </c>
      <c r="I138" s="33">
        <f t="shared" si="16"/>
        <v>20140</v>
      </c>
      <c r="J138" s="48">
        <f>WasteShipmentData[[#This Row],[Standardized Volume in lbs]]/2.2</f>
        <v>9154.545454545454</v>
      </c>
      <c r="K138" s="48">
        <f>8*2000</f>
        <v>16000</v>
      </c>
      <c r="L138" s="33" t="s">
        <v>65</v>
      </c>
      <c r="M138" s="33" t="s">
        <v>63</v>
      </c>
      <c r="N138" s="33" t="s">
        <v>66</v>
      </c>
      <c r="O138" s="33" t="s">
        <v>63</v>
      </c>
      <c r="P138" s="33" t="s">
        <v>63</v>
      </c>
      <c r="Q138" s="33" t="s">
        <v>63</v>
      </c>
      <c r="R138" s="33" t="s">
        <v>63</v>
      </c>
      <c r="S138" s="33" t="s">
        <v>67</v>
      </c>
      <c r="T138" s="33" t="s">
        <v>68</v>
      </c>
      <c r="U138" s="33" t="s">
        <v>63</v>
      </c>
      <c r="V138" s="33" t="s">
        <v>69</v>
      </c>
      <c r="W138" s="33" t="s">
        <v>70</v>
      </c>
      <c r="X138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138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138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138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138" s="33" t="s">
        <v>71</v>
      </c>
      <c r="AC138" s="33" t="s">
        <v>72</v>
      </c>
      <c r="AD138" s="33">
        <v>12.3</v>
      </c>
      <c r="AE138" s="33" t="s">
        <v>73</v>
      </c>
      <c r="AF138" s="38" t="s">
        <v>74</v>
      </c>
      <c r="AG138" s="38" t="s">
        <v>75</v>
      </c>
      <c r="AH138" s="33">
        <v>37143</v>
      </c>
      <c r="AI138" s="33" t="s">
        <v>63</v>
      </c>
      <c r="AJ138" s="33" t="s">
        <v>71</v>
      </c>
      <c r="AK138" s="37">
        <v>717.46</v>
      </c>
      <c r="AL138" s="37">
        <v>80.709999999999994</v>
      </c>
      <c r="AM138" s="37">
        <f t="shared" si="18"/>
        <v>812.74969999999996</v>
      </c>
      <c r="AN138" s="37">
        <v>0</v>
      </c>
      <c r="AO138" s="37">
        <v>0</v>
      </c>
      <c r="AP138" s="37">
        <v>0</v>
      </c>
      <c r="AQ138" s="37">
        <v>122.97</v>
      </c>
      <c r="AR138" s="37">
        <v>400</v>
      </c>
      <c r="AS138" s="37">
        <v>45</v>
      </c>
      <c r="AT138" s="37">
        <f t="shared" si="19"/>
        <v>453.15000000000003</v>
      </c>
      <c r="AU138" s="47">
        <v>0</v>
      </c>
      <c r="AV138" s="47">
        <v>0</v>
      </c>
      <c r="AW138" s="37">
        <v>0</v>
      </c>
      <c r="AX138" s="37">
        <v>75</v>
      </c>
      <c r="AY138" s="30"/>
      <c r="AZ138" s="30"/>
      <c r="BA138" s="30"/>
      <c r="BB138" s="30"/>
    </row>
    <row r="139" spans="1:54" x14ac:dyDescent="0.25">
      <c r="A139" s="33" t="s">
        <v>79</v>
      </c>
      <c r="B139" s="33" t="s">
        <v>80</v>
      </c>
      <c r="C139" s="39">
        <v>45546</v>
      </c>
      <c r="D139" s="33">
        <v>410191</v>
      </c>
      <c r="E139" s="34" t="s">
        <v>63</v>
      </c>
      <c r="F139" s="33" t="s">
        <v>64</v>
      </c>
      <c r="G139" s="33">
        <v>9.73</v>
      </c>
      <c r="H139" s="33">
        <v>2000</v>
      </c>
      <c r="I139" s="33">
        <f t="shared" si="16"/>
        <v>19460</v>
      </c>
      <c r="J139" s="48">
        <f>WasteShipmentData[[#This Row],[Standardized Volume in lbs]]/2.2</f>
        <v>8845.4545454545441</v>
      </c>
      <c r="K139" s="48">
        <f>8*2000</f>
        <v>16000</v>
      </c>
      <c r="L139" s="33" t="s">
        <v>65</v>
      </c>
      <c r="M139" s="33" t="s">
        <v>63</v>
      </c>
      <c r="N139" s="33" t="s">
        <v>66</v>
      </c>
      <c r="O139" s="33" t="s">
        <v>63</v>
      </c>
      <c r="P139" s="33" t="s">
        <v>63</v>
      </c>
      <c r="Q139" s="33" t="s">
        <v>63</v>
      </c>
      <c r="R139" s="33" t="s">
        <v>63</v>
      </c>
      <c r="S139" s="33" t="s">
        <v>67</v>
      </c>
      <c r="T139" s="33" t="s">
        <v>68</v>
      </c>
      <c r="U139" s="33" t="s">
        <v>63</v>
      </c>
      <c r="V139" s="33" t="s">
        <v>69</v>
      </c>
      <c r="W139" s="33" t="s">
        <v>70</v>
      </c>
      <c r="X139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139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139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139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139" s="33" t="s">
        <v>71</v>
      </c>
      <c r="AC139" s="33" t="s">
        <v>72</v>
      </c>
      <c r="AD139" s="33">
        <v>12.3</v>
      </c>
      <c r="AE139" s="33" t="s">
        <v>73</v>
      </c>
      <c r="AF139" s="38" t="s">
        <v>74</v>
      </c>
      <c r="AG139" s="38" t="s">
        <v>75</v>
      </c>
      <c r="AH139" s="33">
        <v>37143</v>
      </c>
      <c r="AI139" s="33" t="s">
        <v>63</v>
      </c>
      <c r="AJ139" s="33" t="s">
        <v>71</v>
      </c>
      <c r="AK139" s="37">
        <v>717.46</v>
      </c>
      <c r="AL139" s="37">
        <v>80.709999999999994</v>
      </c>
      <c r="AM139" s="37">
        <f t="shared" si="18"/>
        <v>785.30829999999992</v>
      </c>
      <c r="AN139" s="37">
        <v>0</v>
      </c>
      <c r="AO139" s="37">
        <v>0</v>
      </c>
      <c r="AP139" s="37">
        <v>0</v>
      </c>
      <c r="AQ139" s="37">
        <v>122.97</v>
      </c>
      <c r="AR139" s="37">
        <v>400</v>
      </c>
      <c r="AS139" s="37">
        <v>45</v>
      </c>
      <c r="AT139" s="37">
        <f t="shared" si="19"/>
        <v>437.85</v>
      </c>
      <c r="AU139" s="47">
        <v>0</v>
      </c>
      <c r="AV139" s="47">
        <v>0</v>
      </c>
      <c r="AW139" s="37">
        <v>0</v>
      </c>
      <c r="AX139" s="37">
        <v>75</v>
      </c>
      <c r="AY139" s="30"/>
      <c r="AZ139" s="30"/>
      <c r="BA139" s="30"/>
      <c r="BB139" s="30"/>
    </row>
    <row r="140" spans="1:54" x14ac:dyDescent="0.25">
      <c r="A140" s="33" t="s">
        <v>81</v>
      </c>
      <c r="B140" s="33" t="s">
        <v>80</v>
      </c>
      <c r="C140" s="39">
        <v>45546</v>
      </c>
      <c r="D140" s="33">
        <v>410190</v>
      </c>
      <c r="E140" s="34" t="s">
        <v>63</v>
      </c>
      <c r="F140" s="33" t="s">
        <v>64</v>
      </c>
      <c r="G140" s="33">
        <v>3.4</v>
      </c>
      <c r="H140" s="33">
        <v>2000</v>
      </c>
      <c r="I140" s="33">
        <f t="shared" si="16"/>
        <v>6800</v>
      </c>
      <c r="J140" s="48">
        <f>WasteShipmentData[[#This Row],[Standardized Volume in lbs]]/2.2</f>
        <v>3090.9090909090905</v>
      </c>
      <c r="K140" s="48">
        <v>2000</v>
      </c>
      <c r="L140" s="33" t="s">
        <v>65</v>
      </c>
      <c r="M140" s="33" t="s">
        <v>63</v>
      </c>
      <c r="N140" s="33" t="s">
        <v>66</v>
      </c>
      <c r="O140" s="33" t="s">
        <v>63</v>
      </c>
      <c r="P140" s="33" t="s">
        <v>63</v>
      </c>
      <c r="Q140" s="33" t="s">
        <v>63</v>
      </c>
      <c r="R140" s="33" t="s">
        <v>63</v>
      </c>
      <c r="S140" s="33" t="s">
        <v>67</v>
      </c>
      <c r="T140" s="33" t="s">
        <v>68</v>
      </c>
      <c r="U140" s="33" t="s">
        <v>63</v>
      </c>
      <c r="V140" s="33" t="s">
        <v>69</v>
      </c>
      <c r="W140" s="33" t="s">
        <v>70</v>
      </c>
      <c r="X140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140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140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140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140" s="33" t="s">
        <v>71</v>
      </c>
      <c r="AC140" s="33" t="s">
        <v>72</v>
      </c>
      <c r="AD140" s="33">
        <v>12.3</v>
      </c>
      <c r="AE140" s="33" t="s">
        <v>73</v>
      </c>
      <c r="AF140" s="38" t="s">
        <v>74</v>
      </c>
      <c r="AG140" s="38" t="s">
        <v>75</v>
      </c>
      <c r="AH140" s="33">
        <v>37143</v>
      </c>
      <c r="AI140" s="33" t="s">
        <v>63</v>
      </c>
      <c r="AJ140" s="33" t="s">
        <v>71</v>
      </c>
      <c r="AK140" s="37">
        <v>717.46</v>
      </c>
      <c r="AL140" s="37">
        <v>80.709999999999994</v>
      </c>
      <c r="AM140" s="37">
        <f t="shared" si="18"/>
        <v>274.41399999999999</v>
      </c>
      <c r="AN140" s="37">
        <v>0</v>
      </c>
      <c r="AO140" s="37">
        <v>0</v>
      </c>
      <c r="AP140" s="37">
        <v>0</v>
      </c>
      <c r="AQ140" s="37">
        <v>122.97</v>
      </c>
      <c r="AR140" s="37">
        <v>400</v>
      </c>
      <c r="AS140" s="37">
        <v>45</v>
      </c>
      <c r="AT140" s="37">
        <f t="shared" si="19"/>
        <v>153</v>
      </c>
      <c r="AU140" s="47">
        <v>0</v>
      </c>
      <c r="AV140" s="47">
        <v>0</v>
      </c>
      <c r="AW140" s="37">
        <v>0</v>
      </c>
      <c r="AX140" s="37">
        <v>75</v>
      </c>
      <c r="AY140" s="30"/>
      <c r="AZ140" s="30"/>
      <c r="BA140" s="30"/>
      <c r="BB140" s="30"/>
    </row>
    <row r="141" spans="1:54" x14ac:dyDescent="0.25">
      <c r="A141" s="33" t="s">
        <v>79</v>
      </c>
      <c r="B141" s="33" t="s">
        <v>80</v>
      </c>
      <c r="C141" s="39">
        <v>45547</v>
      </c>
      <c r="D141" s="33">
        <v>410197</v>
      </c>
      <c r="E141" s="34" t="s">
        <v>63</v>
      </c>
      <c r="F141" s="33" t="s">
        <v>64</v>
      </c>
      <c r="G141" s="33">
        <v>9.6300000000000008</v>
      </c>
      <c r="H141" s="33">
        <v>2000</v>
      </c>
      <c r="I141" s="33">
        <f t="shared" si="16"/>
        <v>19260</v>
      </c>
      <c r="J141" s="48">
        <f>WasteShipmentData[[#This Row],[Standardized Volume in lbs]]/2.2</f>
        <v>8754.545454545454</v>
      </c>
      <c r="K141" s="48">
        <f>8*2000</f>
        <v>16000</v>
      </c>
      <c r="L141" s="33" t="s">
        <v>65</v>
      </c>
      <c r="M141" s="33" t="s">
        <v>63</v>
      </c>
      <c r="N141" s="33" t="s">
        <v>66</v>
      </c>
      <c r="O141" s="33" t="s">
        <v>63</v>
      </c>
      <c r="P141" s="33" t="s">
        <v>63</v>
      </c>
      <c r="Q141" s="33" t="s">
        <v>63</v>
      </c>
      <c r="R141" s="33" t="s">
        <v>63</v>
      </c>
      <c r="S141" s="33" t="s">
        <v>67</v>
      </c>
      <c r="T141" s="33" t="s">
        <v>68</v>
      </c>
      <c r="U141" s="33" t="s">
        <v>63</v>
      </c>
      <c r="V141" s="33" t="s">
        <v>69</v>
      </c>
      <c r="W141" s="33" t="s">
        <v>70</v>
      </c>
      <c r="X141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141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141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141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141" s="33" t="s">
        <v>71</v>
      </c>
      <c r="AC141" s="33" t="s">
        <v>72</v>
      </c>
      <c r="AD141" s="33">
        <v>12.3</v>
      </c>
      <c r="AE141" s="33" t="s">
        <v>73</v>
      </c>
      <c r="AF141" s="38" t="s">
        <v>74</v>
      </c>
      <c r="AG141" s="38" t="s">
        <v>75</v>
      </c>
      <c r="AH141" s="33">
        <v>37143</v>
      </c>
      <c r="AI141" s="33" t="s">
        <v>63</v>
      </c>
      <c r="AJ141" s="33" t="s">
        <v>71</v>
      </c>
      <c r="AK141" s="37">
        <v>717.46</v>
      </c>
      <c r="AL141" s="37">
        <v>80.709999999999994</v>
      </c>
      <c r="AM141" s="37">
        <f t="shared" si="18"/>
        <v>777.2373</v>
      </c>
      <c r="AN141" s="37">
        <v>0</v>
      </c>
      <c r="AO141" s="37">
        <v>0</v>
      </c>
      <c r="AP141" s="37">
        <v>0</v>
      </c>
      <c r="AQ141" s="37">
        <v>122.97</v>
      </c>
      <c r="AR141" s="37">
        <v>400</v>
      </c>
      <c r="AS141" s="37">
        <v>45</v>
      </c>
      <c r="AT141" s="37">
        <f t="shared" si="19"/>
        <v>433.35</v>
      </c>
      <c r="AU141" s="47">
        <v>0</v>
      </c>
      <c r="AV141" s="47">
        <v>0</v>
      </c>
      <c r="AW141" s="37">
        <v>0</v>
      </c>
      <c r="AX141" s="37">
        <v>75</v>
      </c>
      <c r="AY141" s="30"/>
      <c r="AZ141" s="30"/>
      <c r="BA141" s="30"/>
      <c r="BB141" s="30"/>
    </row>
    <row r="142" spans="1:54" x14ac:dyDescent="0.25">
      <c r="A142" s="33" t="s">
        <v>61</v>
      </c>
      <c r="B142" s="33" t="s">
        <v>76</v>
      </c>
      <c r="C142" s="39">
        <v>45547</v>
      </c>
      <c r="D142" s="33">
        <v>410194</v>
      </c>
      <c r="E142" s="34" t="s">
        <v>63</v>
      </c>
      <c r="F142" s="33" t="s">
        <v>64</v>
      </c>
      <c r="G142" s="33">
        <v>1.0900000000000001</v>
      </c>
      <c r="H142" s="33">
        <v>2000</v>
      </c>
      <c r="I142" s="33">
        <f t="shared" si="16"/>
        <v>2180</v>
      </c>
      <c r="J142" s="48">
        <f>WasteShipmentData[[#This Row],[Standardized Volume in lbs]]/2.2</f>
        <v>990.90909090909088</v>
      </c>
      <c r="K142" s="48">
        <v>2500</v>
      </c>
      <c r="L142" s="33" t="s">
        <v>65</v>
      </c>
      <c r="M142" s="33" t="s">
        <v>63</v>
      </c>
      <c r="N142" s="33" t="s">
        <v>66</v>
      </c>
      <c r="O142" s="33" t="s">
        <v>63</v>
      </c>
      <c r="P142" s="33" t="s">
        <v>63</v>
      </c>
      <c r="Q142" s="33" t="s">
        <v>63</v>
      </c>
      <c r="R142" s="33" t="s">
        <v>63</v>
      </c>
      <c r="S142" s="33" t="s">
        <v>67</v>
      </c>
      <c r="T142" s="33" t="s">
        <v>68</v>
      </c>
      <c r="U142" s="33" t="s">
        <v>63</v>
      </c>
      <c r="V142" s="33" t="s">
        <v>69</v>
      </c>
      <c r="W142" s="33" t="s">
        <v>70</v>
      </c>
      <c r="X142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142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142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142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142" s="33" t="s">
        <v>71</v>
      </c>
      <c r="AC142" s="33" t="s">
        <v>110</v>
      </c>
      <c r="AD142" s="33">
        <v>26.6</v>
      </c>
      <c r="AE142" s="33" t="s">
        <v>111</v>
      </c>
      <c r="AF142" s="38" t="s">
        <v>97</v>
      </c>
      <c r="AG142" s="38" t="s">
        <v>75</v>
      </c>
      <c r="AH142" s="33">
        <v>37210</v>
      </c>
      <c r="AI142" s="38" t="s">
        <v>63</v>
      </c>
      <c r="AJ142" s="33" t="s">
        <v>71</v>
      </c>
      <c r="AK142" s="37">
        <v>450.98</v>
      </c>
      <c r="AL142" s="37">
        <v>108.58</v>
      </c>
      <c r="AM142" s="37">
        <f t="shared" si="18"/>
        <v>118.35220000000001</v>
      </c>
      <c r="AN142" s="37">
        <v>0</v>
      </c>
      <c r="AO142" s="37">
        <v>0</v>
      </c>
      <c r="AP142" s="37">
        <v>0</v>
      </c>
      <c r="AQ142" s="37">
        <v>0</v>
      </c>
      <c r="AR142" s="37">
        <v>275</v>
      </c>
      <c r="AS142" s="37">
        <v>90</v>
      </c>
      <c r="AT142" s="37">
        <f t="shared" si="19"/>
        <v>98.100000000000009</v>
      </c>
      <c r="AU142" s="47">
        <v>0</v>
      </c>
      <c r="AV142" s="47">
        <v>0</v>
      </c>
      <c r="AW142" s="37">
        <v>0</v>
      </c>
      <c r="AX142" s="37">
        <v>0</v>
      </c>
      <c r="AY142" s="30"/>
      <c r="AZ142" s="30"/>
      <c r="BA142" s="30"/>
      <c r="BB142" s="30"/>
    </row>
    <row r="143" spans="1:54" x14ac:dyDescent="0.25">
      <c r="A143" s="33" t="s">
        <v>61</v>
      </c>
      <c r="B143" s="33" t="s">
        <v>62</v>
      </c>
      <c r="C143" s="39">
        <v>45547</v>
      </c>
      <c r="D143" s="33">
        <v>410192</v>
      </c>
      <c r="E143" s="34" t="s">
        <v>63</v>
      </c>
      <c r="F143" s="33" t="s">
        <v>64</v>
      </c>
      <c r="G143" s="33">
        <v>1.24</v>
      </c>
      <c r="H143" s="33">
        <v>2000</v>
      </c>
      <c r="I143" s="33">
        <f t="shared" si="16"/>
        <v>2480</v>
      </c>
      <c r="J143" s="48">
        <f>WasteShipmentData[[#This Row],[Standardized Volume in lbs]]/2.2</f>
        <v>1127.2727272727273</v>
      </c>
      <c r="K143" s="48">
        <v>2500</v>
      </c>
      <c r="L143" s="33" t="s">
        <v>65</v>
      </c>
      <c r="M143" s="33" t="s">
        <v>63</v>
      </c>
      <c r="N143" s="33" t="s">
        <v>66</v>
      </c>
      <c r="O143" s="33" t="s">
        <v>63</v>
      </c>
      <c r="P143" s="33" t="s">
        <v>63</v>
      </c>
      <c r="Q143" s="33" t="s">
        <v>63</v>
      </c>
      <c r="R143" s="33" t="s">
        <v>63</v>
      </c>
      <c r="S143" s="33" t="s">
        <v>67</v>
      </c>
      <c r="T143" s="33" t="s">
        <v>68</v>
      </c>
      <c r="U143" s="33" t="s">
        <v>63</v>
      </c>
      <c r="V143" s="33" t="s">
        <v>69</v>
      </c>
      <c r="W143" s="33" t="s">
        <v>70</v>
      </c>
      <c r="X143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143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143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143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143" s="33" t="s">
        <v>71</v>
      </c>
      <c r="AC143" s="33" t="s">
        <v>72</v>
      </c>
      <c r="AD143" s="33">
        <v>12.3</v>
      </c>
      <c r="AE143" s="33" t="s">
        <v>73</v>
      </c>
      <c r="AF143" s="38" t="s">
        <v>74</v>
      </c>
      <c r="AG143" s="38" t="s">
        <v>75</v>
      </c>
      <c r="AH143" s="33">
        <v>37143</v>
      </c>
      <c r="AI143" s="33" t="s">
        <v>63</v>
      </c>
      <c r="AJ143" s="33" t="s">
        <v>71</v>
      </c>
      <c r="AK143" s="37">
        <v>450.98</v>
      </c>
      <c r="AL143" s="37">
        <v>108.58</v>
      </c>
      <c r="AM143" s="37">
        <f t="shared" si="18"/>
        <v>134.63919999999999</v>
      </c>
      <c r="AN143" s="37">
        <v>0</v>
      </c>
      <c r="AO143" s="37">
        <v>0</v>
      </c>
      <c r="AP143" s="37">
        <v>0</v>
      </c>
      <c r="AQ143" s="37">
        <v>0</v>
      </c>
      <c r="AR143" s="37">
        <v>275</v>
      </c>
      <c r="AS143" s="37">
        <v>90</v>
      </c>
      <c r="AT143" s="37">
        <f t="shared" si="19"/>
        <v>111.6</v>
      </c>
      <c r="AU143" s="47">
        <v>0</v>
      </c>
      <c r="AV143" s="47">
        <v>0</v>
      </c>
      <c r="AW143" s="37">
        <v>0</v>
      </c>
      <c r="AX143" s="37">
        <v>0</v>
      </c>
      <c r="AY143" s="30"/>
      <c r="AZ143" s="30"/>
      <c r="BA143" s="30"/>
      <c r="BB143" s="30"/>
    </row>
    <row r="144" spans="1:54" x14ac:dyDescent="0.25">
      <c r="A144" s="33" t="s">
        <v>61</v>
      </c>
      <c r="B144" s="33" t="s">
        <v>62</v>
      </c>
      <c r="C144" s="39">
        <v>45547</v>
      </c>
      <c r="D144" s="33">
        <v>410193</v>
      </c>
      <c r="E144" s="34" t="s">
        <v>63</v>
      </c>
      <c r="F144" s="33" t="s">
        <v>64</v>
      </c>
      <c r="G144" s="33">
        <v>2.83</v>
      </c>
      <c r="H144" s="33">
        <v>2000</v>
      </c>
      <c r="I144" s="33">
        <f t="shared" si="16"/>
        <v>5660</v>
      </c>
      <c r="J144" s="48">
        <f>WasteShipmentData[[#This Row],[Standardized Volume in lbs]]/2.2</f>
        <v>2572.7272727272725</v>
      </c>
      <c r="K144" s="48">
        <v>2500</v>
      </c>
      <c r="L144" s="33" t="s">
        <v>65</v>
      </c>
      <c r="M144" s="33" t="s">
        <v>63</v>
      </c>
      <c r="N144" s="33" t="s">
        <v>66</v>
      </c>
      <c r="O144" s="33" t="s">
        <v>63</v>
      </c>
      <c r="P144" s="33" t="s">
        <v>63</v>
      </c>
      <c r="Q144" s="33" t="s">
        <v>63</v>
      </c>
      <c r="R144" s="33" t="s">
        <v>63</v>
      </c>
      <c r="S144" s="33" t="s">
        <v>67</v>
      </c>
      <c r="T144" s="33" t="s">
        <v>68</v>
      </c>
      <c r="U144" s="33" t="s">
        <v>63</v>
      </c>
      <c r="V144" s="33" t="s">
        <v>69</v>
      </c>
      <c r="W144" s="33" t="s">
        <v>70</v>
      </c>
      <c r="X144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144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144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144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144" s="33" t="s">
        <v>71</v>
      </c>
      <c r="AC144" s="33" t="s">
        <v>72</v>
      </c>
      <c r="AD144" s="33">
        <v>12.3</v>
      </c>
      <c r="AE144" s="33" t="s">
        <v>73</v>
      </c>
      <c r="AF144" s="38" t="s">
        <v>74</v>
      </c>
      <c r="AG144" s="38" t="s">
        <v>75</v>
      </c>
      <c r="AH144" s="33">
        <v>37143</v>
      </c>
      <c r="AI144" s="33" t="s">
        <v>63</v>
      </c>
      <c r="AJ144" s="33" t="s">
        <v>71</v>
      </c>
      <c r="AK144" s="37">
        <v>450.98</v>
      </c>
      <c r="AL144" s="37">
        <v>108.58</v>
      </c>
      <c r="AM144" s="37">
        <f t="shared" si="18"/>
        <v>307.28140000000002</v>
      </c>
      <c r="AN144" s="37">
        <v>0</v>
      </c>
      <c r="AO144" s="37">
        <v>0</v>
      </c>
      <c r="AP144" s="37">
        <v>0</v>
      </c>
      <c r="AQ144" s="37">
        <v>0</v>
      </c>
      <c r="AR144" s="37">
        <v>275</v>
      </c>
      <c r="AS144" s="37">
        <v>90</v>
      </c>
      <c r="AT144" s="37">
        <f t="shared" si="19"/>
        <v>254.70000000000002</v>
      </c>
      <c r="AU144" s="47">
        <v>0</v>
      </c>
      <c r="AV144" s="47">
        <v>0</v>
      </c>
      <c r="AW144" s="37">
        <v>0</v>
      </c>
      <c r="AX144" s="37">
        <v>0</v>
      </c>
      <c r="AY144" s="30"/>
      <c r="AZ144" s="30"/>
      <c r="BA144" s="30"/>
      <c r="BB144" s="30"/>
    </row>
    <row r="145" spans="1:54" x14ac:dyDescent="0.25">
      <c r="A145" s="33" t="s">
        <v>61</v>
      </c>
      <c r="B145" s="33" t="s">
        <v>76</v>
      </c>
      <c r="C145" s="39">
        <v>45547</v>
      </c>
      <c r="D145" s="33">
        <v>410195</v>
      </c>
      <c r="E145" s="34" t="s">
        <v>63</v>
      </c>
      <c r="F145" s="33" t="s">
        <v>64</v>
      </c>
      <c r="G145" s="33">
        <v>0.73</v>
      </c>
      <c r="H145" s="33">
        <v>2000</v>
      </c>
      <c r="I145" s="33">
        <f t="shared" si="16"/>
        <v>1460</v>
      </c>
      <c r="J145" s="48">
        <f>WasteShipmentData[[#This Row],[Standardized Volume in lbs]]/2.2</f>
        <v>663.63636363636363</v>
      </c>
      <c r="K145" s="48">
        <f>8*2000</f>
        <v>16000</v>
      </c>
      <c r="L145" s="33" t="s">
        <v>65</v>
      </c>
      <c r="M145" s="33" t="s">
        <v>63</v>
      </c>
      <c r="N145" s="33" t="s">
        <v>66</v>
      </c>
      <c r="O145" s="33" t="s">
        <v>63</v>
      </c>
      <c r="P145" s="33" t="s">
        <v>63</v>
      </c>
      <c r="Q145" s="33" t="s">
        <v>63</v>
      </c>
      <c r="R145" s="33" t="s">
        <v>63</v>
      </c>
      <c r="S145" s="33" t="s">
        <v>77</v>
      </c>
      <c r="T145" s="33" t="s">
        <v>78</v>
      </c>
      <c r="U145" s="33" t="s">
        <v>63</v>
      </c>
      <c r="V145" s="33" t="s">
        <v>69</v>
      </c>
      <c r="W145" s="33" t="s">
        <v>70</v>
      </c>
      <c r="X145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145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145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145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145" s="33" t="s">
        <v>71</v>
      </c>
      <c r="AC145" s="33" t="s">
        <v>72</v>
      </c>
      <c r="AD145" s="33">
        <v>12.3</v>
      </c>
      <c r="AE145" s="33" t="s">
        <v>73</v>
      </c>
      <c r="AF145" s="38" t="s">
        <v>74</v>
      </c>
      <c r="AG145" s="38" t="s">
        <v>75</v>
      </c>
      <c r="AH145" s="33">
        <v>37143</v>
      </c>
      <c r="AI145" s="33" t="s">
        <v>63</v>
      </c>
      <c r="AJ145" s="33" t="s">
        <v>71</v>
      </c>
      <c r="AK145" s="37">
        <v>450.98</v>
      </c>
      <c r="AL145" s="37">
        <v>108.58</v>
      </c>
      <c r="AM145" s="37">
        <f t="shared" si="18"/>
        <v>79.26339999999999</v>
      </c>
      <c r="AN145" s="37">
        <v>0</v>
      </c>
      <c r="AO145" s="37">
        <v>0</v>
      </c>
      <c r="AP145" s="37">
        <v>0</v>
      </c>
      <c r="AQ145" s="37">
        <v>0</v>
      </c>
      <c r="AR145" s="37">
        <v>275</v>
      </c>
      <c r="AS145" s="37">
        <v>90</v>
      </c>
      <c r="AT145" s="37">
        <f t="shared" si="19"/>
        <v>65.7</v>
      </c>
      <c r="AU145" s="47">
        <v>0</v>
      </c>
      <c r="AV145" s="47">
        <v>0</v>
      </c>
      <c r="AW145" s="37">
        <v>0</v>
      </c>
      <c r="AX145" s="37">
        <v>0</v>
      </c>
      <c r="AY145" s="30"/>
      <c r="AZ145" s="30"/>
      <c r="BA145" s="30"/>
      <c r="BB145" s="30"/>
    </row>
    <row r="146" spans="1:54" x14ac:dyDescent="0.25">
      <c r="A146" s="33" t="s">
        <v>61</v>
      </c>
      <c r="B146" s="33" t="s">
        <v>76</v>
      </c>
      <c r="C146" s="39">
        <v>45547</v>
      </c>
      <c r="D146" s="33">
        <v>410196</v>
      </c>
      <c r="E146" s="34" t="s">
        <v>63</v>
      </c>
      <c r="F146" s="33" t="s">
        <v>64</v>
      </c>
      <c r="G146" s="33">
        <v>0.59</v>
      </c>
      <c r="H146" s="33">
        <v>2000</v>
      </c>
      <c r="I146" s="33">
        <f t="shared" si="16"/>
        <v>1180</v>
      </c>
      <c r="J146" s="48">
        <f>WasteShipmentData[[#This Row],[Standardized Volume in lbs]]/2.2</f>
        <v>536.36363636363637</v>
      </c>
      <c r="K146" s="48">
        <f>8*2000</f>
        <v>16000</v>
      </c>
      <c r="L146" s="33" t="s">
        <v>65</v>
      </c>
      <c r="M146" s="33" t="s">
        <v>63</v>
      </c>
      <c r="N146" s="33" t="s">
        <v>66</v>
      </c>
      <c r="O146" s="33" t="s">
        <v>63</v>
      </c>
      <c r="P146" s="33" t="s">
        <v>63</v>
      </c>
      <c r="Q146" s="33" t="s">
        <v>63</v>
      </c>
      <c r="R146" s="33" t="s">
        <v>63</v>
      </c>
      <c r="S146" s="33" t="s">
        <v>77</v>
      </c>
      <c r="T146" s="33" t="s">
        <v>78</v>
      </c>
      <c r="U146" s="33" t="s">
        <v>63</v>
      </c>
      <c r="V146" s="33" t="s">
        <v>69</v>
      </c>
      <c r="W146" s="33" t="s">
        <v>70</v>
      </c>
      <c r="X146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146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146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146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146" s="33" t="s">
        <v>71</v>
      </c>
      <c r="AC146" s="33" t="s">
        <v>72</v>
      </c>
      <c r="AD146" s="33">
        <v>12.3</v>
      </c>
      <c r="AE146" s="33" t="s">
        <v>73</v>
      </c>
      <c r="AF146" s="38" t="s">
        <v>74</v>
      </c>
      <c r="AG146" s="38" t="s">
        <v>75</v>
      </c>
      <c r="AH146" s="33">
        <v>37143</v>
      </c>
      <c r="AI146" s="33" t="s">
        <v>63</v>
      </c>
      <c r="AJ146" s="33" t="s">
        <v>71</v>
      </c>
      <c r="AK146" s="37">
        <v>450.98</v>
      </c>
      <c r="AL146" s="37">
        <v>108.58</v>
      </c>
      <c r="AM146" s="37">
        <f t="shared" si="18"/>
        <v>64.06219999999999</v>
      </c>
      <c r="AN146" s="37">
        <v>0</v>
      </c>
      <c r="AO146" s="37">
        <v>0</v>
      </c>
      <c r="AP146" s="37">
        <v>0</v>
      </c>
      <c r="AQ146" s="37">
        <v>0</v>
      </c>
      <c r="AR146" s="37">
        <v>275</v>
      </c>
      <c r="AS146" s="37">
        <v>90</v>
      </c>
      <c r="AT146" s="37">
        <f t="shared" si="19"/>
        <v>53.099999999999994</v>
      </c>
      <c r="AU146" s="47">
        <v>0</v>
      </c>
      <c r="AV146" s="47">
        <v>0</v>
      </c>
      <c r="AW146" s="37">
        <v>0</v>
      </c>
      <c r="AX146" s="37">
        <v>0</v>
      </c>
      <c r="AY146" s="30"/>
      <c r="AZ146" s="30"/>
      <c r="BA146" s="30"/>
      <c r="BB146" s="30"/>
    </row>
    <row r="147" spans="1:54" x14ac:dyDescent="0.25">
      <c r="A147" s="33" t="s">
        <v>79</v>
      </c>
      <c r="B147" s="33" t="s">
        <v>80</v>
      </c>
      <c r="C147" s="39">
        <v>45548</v>
      </c>
      <c r="D147" s="33">
        <v>410198</v>
      </c>
      <c r="E147" s="34" t="s">
        <v>63</v>
      </c>
      <c r="F147" s="33" t="s">
        <v>64</v>
      </c>
      <c r="G147" s="33">
        <v>9.99</v>
      </c>
      <c r="H147" s="33">
        <v>2000</v>
      </c>
      <c r="I147" s="33">
        <f t="shared" si="16"/>
        <v>19980</v>
      </c>
      <c r="J147" s="48">
        <f>WasteShipmentData[[#This Row],[Standardized Volume in lbs]]/2.2</f>
        <v>9081.818181818182</v>
      </c>
      <c r="K147" s="48">
        <f>8*2000</f>
        <v>16000</v>
      </c>
      <c r="L147" s="33" t="s">
        <v>65</v>
      </c>
      <c r="M147" s="33" t="s">
        <v>63</v>
      </c>
      <c r="N147" s="33" t="s">
        <v>66</v>
      </c>
      <c r="O147" s="33" t="s">
        <v>63</v>
      </c>
      <c r="P147" s="33" t="s">
        <v>63</v>
      </c>
      <c r="Q147" s="33" t="s">
        <v>63</v>
      </c>
      <c r="R147" s="33" t="s">
        <v>63</v>
      </c>
      <c r="S147" s="33" t="s">
        <v>67</v>
      </c>
      <c r="T147" s="33" t="s">
        <v>68</v>
      </c>
      <c r="U147" s="33" t="s">
        <v>63</v>
      </c>
      <c r="V147" s="33" t="s">
        <v>69</v>
      </c>
      <c r="W147" s="33" t="s">
        <v>70</v>
      </c>
      <c r="X147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147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147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147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147" s="33" t="s">
        <v>71</v>
      </c>
      <c r="AC147" s="33" t="s">
        <v>72</v>
      </c>
      <c r="AD147" s="33">
        <v>12.3</v>
      </c>
      <c r="AE147" s="33" t="s">
        <v>73</v>
      </c>
      <c r="AF147" s="38" t="s">
        <v>74</v>
      </c>
      <c r="AG147" s="38" t="s">
        <v>75</v>
      </c>
      <c r="AH147" s="33">
        <v>37143</v>
      </c>
      <c r="AI147" s="33" t="s">
        <v>63</v>
      </c>
      <c r="AJ147" s="33" t="s">
        <v>71</v>
      </c>
      <c r="AK147" s="37">
        <v>717.46</v>
      </c>
      <c r="AL147" s="37">
        <v>80.709999999999994</v>
      </c>
      <c r="AM147" s="37">
        <f t="shared" si="18"/>
        <v>806.29289999999992</v>
      </c>
      <c r="AN147" s="37">
        <v>0</v>
      </c>
      <c r="AO147" s="37">
        <v>0</v>
      </c>
      <c r="AP147" s="37">
        <v>0</v>
      </c>
      <c r="AQ147" s="37">
        <v>122.97</v>
      </c>
      <c r="AR147" s="37">
        <v>400</v>
      </c>
      <c r="AS147" s="37">
        <v>45</v>
      </c>
      <c r="AT147" s="37">
        <f t="shared" si="19"/>
        <v>449.55</v>
      </c>
      <c r="AU147" s="47">
        <v>0</v>
      </c>
      <c r="AV147" s="47">
        <v>0</v>
      </c>
      <c r="AW147" s="37">
        <v>0</v>
      </c>
      <c r="AX147" s="37">
        <v>75</v>
      </c>
      <c r="AY147" s="30"/>
      <c r="AZ147" s="30"/>
      <c r="BA147" s="30"/>
      <c r="BB147" s="30"/>
    </row>
    <row r="148" spans="1:54" x14ac:dyDescent="0.25">
      <c r="A148" s="33" t="s">
        <v>90</v>
      </c>
      <c r="B148" s="33" t="s">
        <v>91</v>
      </c>
      <c r="C148" s="39">
        <v>45549</v>
      </c>
      <c r="D148" s="33">
        <v>410199</v>
      </c>
      <c r="E148" s="34" t="s">
        <v>63</v>
      </c>
      <c r="F148" s="33" t="s">
        <v>112</v>
      </c>
      <c r="G148" s="33">
        <v>3</v>
      </c>
      <c r="H148" s="33">
        <v>1850</v>
      </c>
      <c r="I148" s="33">
        <f>G148*1850</f>
        <v>5550</v>
      </c>
      <c r="J148" s="48">
        <f>WasteShipmentData[[#This Row],[Standardized Volume in lbs]]/2.2</f>
        <v>2522.7272727272725</v>
      </c>
      <c r="K148" s="48">
        <v>550</v>
      </c>
      <c r="L148" s="33" t="s">
        <v>65</v>
      </c>
      <c r="M148" s="33" t="s">
        <v>63</v>
      </c>
      <c r="N148" s="33"/>
      <c r="O148" s="33" t="s">
        <v>63</v>
      </c>
      <c r="P148" s="33" t="s">
        <v>63</v>
      </c>
      <c r="Q148" s="33" t="s">
        <v>63</v>
      </c>
      <c r="R148" s="33" t="s">
        <v>63</v>
      </c>
      <c r="S148" s="33" t="s">
        <v>113</v>
      </c>
      <c r="T148" s="33" t="s">
        <v>68</v>
      </c>
      <c r="U148" s="33">
        <v>2817493</v>
      </c>
      <c r="V148" s="33" t="s">
        <v>69</v>
      </c>
      <c r="W148" s="33" t="s">
        <v>70</v>
      </c>
      <c r="X148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148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148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148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148" s="33" t="s">
        <v>95</v>
      </c>
      <c r="AC148" s="33" t="s">
        <v>95</v>
      </c>
      <c r="AD148" s="33">
        <v>26.9</v>
      </c>
      <c r="AE148" s="33" t="s">
        <v>96</v>
      </c>
      <c r="AF148" s="38" t="s">
        <v>97</v>
      </c>
      <c r="AG148" s="38" t="s">
        <v>75</v>
      </c>
      <c r="AH148" s="33">
        <v>37210</v>
      </c>
      <c r="AI148" s="38" t="s">
        <v>98</v>
      </c>
      <c r="AJ148" s="33" t="s">
        <v>95</v>
      </c>
      <c r="AK148" s="37">
        <v>0</v>
      </c>
      <c r="AL148" s="37">
        <v>1334.03</v>
      </c>
      <c r="AM148" s="37">
        <f t="shared" si="18"/>
        <v>4002.09</v>
      </c>
      <c r="AN148" s="37">
        <v>0</v>
      </c>
      <c r="AO148" s="37">
        <v>0</v>
      </c>
      <c r="AP148" s="37">
        <v>0</v>
      </c>
      <c r="AQ148" s="37">
        <v>0</v>
      </c>
      <c r="AR148" s="37">
        <v>0</v>
      </c>
      <c r="AS148" s="37">
        <v>1067.23</v>
      </c>
      <c r="AT148" s="37">
        <f t="shared" si="19"/>
        <v>3201.69</v>
      </c>
      <c r="AU148" s="47">
        <v>0</v>
      </c>
      <c r="AV148" s="47">
        <v>0</v>
      </c>
      <c r="AW148" s="37">
        <v>0</v>
      </c>
      <c r="AX148" s="37">
        <v>0</v>
      </c>
      <c r="AY148" s="30"/>
      <c r="AZ148" s="30"/>
      <c r="BA148" s="30"/>
      <c r="BB148" s="30"/>
    </row>
    <row r="149" spans="1:54" x14ac:dyDescent="0.25">
      <c r="A149" s="33" t="s">
        <v>114</v>
      </c>
      <c r="B149" s="33" t="s">
        <v>91</v>
      </c>
      <c r="C149" s="39">
        <v>45549</v>
      </c>
      <c r="D149" s="33" t="s">
        <v>115</v>
      </c>
      <c r="E149" s="34">
        <v>45574</v>
      </c>
      <c r="F149" s="33" t="s">
        <v>116</v>
      </c>
      <c r="G149" s="33">
        <v>19</v>
      </c>
      <c r="H149" s="33">
        <v>450</v>
      </c>
      <c r="I149" s="33">
        <v>11250</v>
      </c>
      <c r="J149" s="48">
        <f>WasteShipmentData[[#This Row],[Standardized Volume in lbs]]/2.2</f>
        <v>5113.6363636363631</v>
      </c>
      <c r="K149" s="48">
        <v>450</v>
      </c>
      <c r="L149" s="33" t="s">
        <v>100</v>
      </c>
      <c r="M149" s="33" t="s">
        <v>63</v>
      </c>
      <c r="N149" s="33" t="s">
        <v>117</v>
      </c>
      <c r="O149" s="33" t="s">
        <v>63</v>
      </c>
      <c r="P149" s="33" t="s">
        <v>63</v>
      </c>
      <c r="Q149" s="33" t="s">
        <v>63</v>
      </c>
      <c r="R149" s="33" t="s">
        <v>63</v>
      </c>
      <c r="S149" s="33" t="s">
        <v>113</v>
      </c>
      <c r="T149" s="33" t="s">
        <v>68</v>
      </c>
      <c r="U149" s="33">
        <v>2785181</v>
      </c>
      <c r="V149" s="33" t="s">
        <v>69</v>
      </c>
      <c r="W149" s="33" t="s">
        <v>70</v>
      </c>
      <c r="X149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149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149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149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149" s="33" t="s">
        <v>95</v>
      </c>
      <c r="AC149" s="33" t="s">
        <v>95</v>
      </c>
      <c r="AD149" s="33">
        <v>26.9</v>
      </c>
      <c r="AE149" s="33" t="s">
        <v>96</v>
      </c>
      <c r="AF149" s="38" t="s">
        <v>97</v>
      </c>
      <c r="AG149" s="38" t="s">
        <v>75</v>
      </c>
      <c r="AH149" s="33">
        <v>37210</v>
      </c>
      <c r="AI149" s="38" t="s">
        <v>98</v>
      </c>
      <c r="AJ149" s="33" t="s">
        <v>95</v>
      </c>
      <c r="AK149" s="37">
        <v>0</v>
      </c>
      <c r="AL149" s="37">
        <v>495.16</v>
      </c>
      <c r="AM149" s="37">
        <f t="shared" si="18"/>
        <v>9408.0400000000009</v>
      </c>
      <c r="AN149" s="37">
        <v>0</v>
      </c>
      <c r="AO149" s="37">
        <v>0</v>
      </c>
      <c r="AP149" s="37">
        <v>0</v>
      </c>
      <c r="AQ149" s="37">
        <v>2576</v>
      </c>
      <c r="AR149" s="37">
        <v>0</v>
      </c>
      <c r="AS149" s="37">
        <v>275</v>
      </c>
      <c r="AT149" s="37">
        <f t="shared" si="19"/>
        <v>5225</v>
      </c>
      <c r="AU149" s="47">
        <v>0</v>
      </c>
      <c r="AV149" s="47">
        <v>0</v>
      </c>
      <c r="AW149" s="37">
        <v>0</v>
      </c>
      <c r="AX149" s="37">
        <v>1680</v>
      </c>
      <c r="AY149" s="30"/>
      <c r="AZ149" s="30"/>
      <c r="BA149" s="30"/>
      <c r="BB149" s="30"/>
    </row>
    <row r="150" spans="1:54" x14ac:dyDescent="0.25">
      <c r="A150" s="33" t="s">
        <v>82</v>
      </c>
      <c r="B150" s="33" t="s">
        <v>76</v>
      </c>
      <c r="C150" s="39">
        <v>45549</v>
      </c>
      <c r="D150" s="33">
        <v>410200</v>
      </c>
      <c r="E150" s="34" t="s">
        <v>63</v>
      </c>
      <c r="F150" s="33" t="s">
        <v>64</v>
      </c>
      <c r="G150" s="33">
        <v>19.920000000000002</v>
      </c>
      <c r="H150" s="33">
        <v>2000</v>
      </c>
      <c r="I150" s="33">
        <f>G150*2000</f>
        <v>39840</v>
      </c>
      <c r="J150" s="48">
        <f>WasteShipmentData[[#This Row],[Standardized Volume in lbs]]/2.2</f>
        <v>18109.090909090908</v>
      </c>
      <c r="K150" s="48">
        <f>8*2000</f>
        <v>16000</v>
      </c>
      <c r="L150" s="33" t="s">
        <v>83</v>
      </c>
      <c r="M150" s="33" t="s">
        <v>63</v>
      </c>
      <c r="N150" s="33" t="s">
        <v>83</v>
      </c>
      <c r="O150" s="33" t="s">
        <v>63</v>
      </c>
      <c r="P150" s="33" t="s">
        <v>63</v>
      </c>
      <c r="Q150" s="33" t="s">
        <v>63</v>
      </c>
      <c r="R150" s="33" t="s">
        <v>63</v>
      </c>
      <c r="S150" s="33" t="s">
        <v>84</v>
      </c>
      <c r="T150" s="33" t="s">
        <v>68</v>
      </c>
      <c r="U150" s="33" t="s">
        <v>63</v>
      </c>
      <c r="V150" s="33" t="s">
        <v>69</v>
      </c>
      <c r="W150" s="33" t="s">
        <v>70</v>
      </c>
      <c r="X150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150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150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150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150" s="33" t="s">
        <v>85</v>
      </c>
      <c r="AC150" s="33" t="s">
        <v>86</v>
      </c>
      <c r="AD150" s="33">
        <v>281.5</v>
      </c>
      <c r="AE150" s="33" t="s">
        <v>87</v>
      </c>
      <c r="AF150" s="38" t="s">
        <v>88</v>
      </c>
      <c r="AG150" s="38" t="s">
        <v>75</v>
      </c>
      <c r="AH150" s="33">
        <v>37660</v>
      </c>
      <c r="AI150" s="33" t="s">
        <v>63</v>
      </c>
      <c r="AJ150" s="33" t="s">
        <v>109</v>
      </c>
      <c r="AK150" s="37">
        <v>0</v>
      </c>
      <c r="AL150" s="37">
        <v>7.5</v>
      </c>
      <c r="AM150" s="37">
        <f t="shared" si="18"/>
        <v>149.4</v>
      </c>
      <c r="AN150" s="37">
        <v>0</v>
      </c>
      <c r="AO150" s="37">
        <v>0</v>
      </c>
      <c r="AP150" s="37">
        <v>0</v>
      </c>
      <c r="AQ150" s="37">
        <v>0</v>
      </c>
      <c r="AR150" s="37">
        <v>0</v>
      </c>
      <c r="AS150" s="37"/>
      <c r="AT150" s="37">
        <f t="shared" si="19"/>
        <v>0</v>
      </c>
      <c r="AU150" s="47">
        <v>0</v>
      </c>
      <c r="AV150" s="47">
        <v>0</v>
      </c>
      <c r="AW150" s="37">
        <f>G150*-155</f>
        <v>-3087.6000000000004</v>
      </c>
      <c r="AX150" s="37">
        <v>0</v>
      </c>
      <c r="AY150" s="30"/>
      <c r="AZ150" s="30"/>
      <c r="BA150" s="30"/>
      <c r="BB150" s="30"/>
    </row>
    <row r="151" spans="1:54" x14ac:dyDescent="0.25">
      <c r="A151" s="33" t="s">
        <v>90</v>
      </c>
      <c r="B151" s="33" t="s">
        <v>91</v>
      </c>
      <c r="C151" s="34">
        <v>45550</v>
      </c>
      <c r="D151" s="43" t="s">
        <v>118</v>
      </c>
      <c r="E151" s="34">
        <v>45577</v>
      </c>
      <c r="F151" s="33" t="s">
        <v>93</v>
      </c>
      <c r="G151" s="44">
        <v>1</v>
      </c>
      <c r="H151" s="33">
        <v>550</v>
      </c>
      <c r="I151" s="33">
        <f>WasteShipmentData[[#This Row],[Weight in lbs per unit]]*WasteShipmentData[[#This Row],[Qty]]</f>
        <v>550</v>
      </c>
      <c r="J151" s="48">
        <f>WasteShipmentData[[#This Row],[Standardized Volume in lbs]]/2.2</f>
        <v>249.99999999999997</v>
      </c>
      <c r="K151" s="48">
        <v>550</v>
      </c>
      <c r="L151" s="33" t="s">
        <v>65</v>
      </c>
      <c r="M151" s="33" t="s">
        <v>63</v>
      </c>
      <c r="N151" s="33" t="s">
        <v>83</v>
      </c>
      <c r="O151" s="33" t="s">
        <v>63</v>
      </c>
      <c r="P151" s="33" t="s">
        <v>63</v>
      </c>
      <c r="Q151" s="33" t="s">
        <v>63</v>
      </c>
      <c r="R151" s="33" t="s">
        <v>63</v>
      </c>
      <c r="S151" s="33" t="s">
        <v>94</v>
      </c>
      <c r="T151" s="33" t="s">
        <v>68</v>
      </c>
      <c r="U151" s="33">
        <v>41590</v>
      </c>
      <c r="V151" s="33" t="s">
        <v>69</v>
      </c>
      <c r="W151" s="33" t="s">
        <v>70</v>
      </c>
      <c r="X151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151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151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151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151" s="33" t="s">
        <v>95</v>
      </c>
      <c r="AC151" s="33" t="s">
        <v>95</v>
      </c>
      <c r="AD151" s="33">
        <v>26.9</v>
      </c>
      <c r="AE151" s="33" t="s">
        <v>96</v>
      </c>
      <c r="AF151" s="38" t="s">
        <v>97</v>
      </c>
      <c r="AG151" s="38" t="s">
        <v>75</v>
      </c>
      <c r="AH151" s="33">
        <v>37210</v>
      </c>
      <c r="AI151" s="38" t="s">
        <v>98</v>
      </c>
      <c r="AJ151" s="38"/>
      <c r="AK151" s="37">
        <v>30</v>
      </c>
      <c r="AL151" s="37">
        <v>675</v>
      </c>
      <c r="AM151" s="37">
        <f t="shared" si="18"/>
        <v>675</v>
      </c>
      <c r="AN151" s="37">
        <v>0</v>
      </c>
      <c r="AO151" s="37">
        <v>0</v>
      </c>
      <c r="AP151" s="37">
        <v>0</v>
      </c>
      <c r="AQ151" s="37">
        <v>0</v>
      </c>
      <c r="AR151" s="37">
        <v>0</v>
      </c>
      <c r="AS151" s="37"/>
      <c r="AT151" s="37">
        <f t="shared" si="19"/>
        <v>0</v>
      </c>
      <c r="AU151" s="47">
        <v>0</v>
      </c>
      <c r="AV151" s="47">
        <v>0</v>
      </c>
      <c r="AW151" s="37">
        <v>0</v>
      </c>
      <c r="AX151" s="37">
        <v>0</v>
      </c>
      <c r="AY151" s="30"/>
      <c r="AZ151" s="30"/>
      <c r="BA151" s="30"/>
      <c r="BB151" s="30"/>
    </row>
    <row r="152" spans="1:54" x14ac:dyDescent="0.25">
      <c r="A152" s="33" t="s">
        <v>99</v>
      </c>
      <c r="B152" s="33" t="s">
        <v>91</v>
      </c>
      <c r="C152" s="34">
        <v>45550</v>
      </c>
      <c r="D152" s="43" t="s">
        <v>118</v>
      </c>
      <c r="E152" s="34">
        <v>45577</v>
      </c>
      <c r="F152" s="33" t="s">
        <v>93</v>
      </c>
      <c r="G152" s="44">
        <v>16</v>
      </c>
      <c r="H152" s="33">
        <v>420</v>
      </c>
      <c r="I152" s="33">
        <f>WasteShipmentData[[#This Row],[Weight in lbs per unit]]*WasteShipmentData[[#This Row],[Qty]]</f>
        <v>6720</v>
      </c>
      <c r="J152" s="48">
        <f>WasteShipmentData[[#This Row],[Standardized Volume in lbs]]/2.2</f>
        <v>3054.5454545454545</v>
      </c>
      <c r="K152" s="48">
        <v>420</v>
      </c>
      <c r="L152" s="33" t="s">
        <v>100</v>
      </c>
      <c r="M152" s="33" t="s">
        <v>101</v>
      </c>
      <c r="N152" s="33" t="s">
        <v>102</v>
      </c>
      <c r="O152" s="33" t="s">
        <v>103</v>
      </c>
      <c r="P152" s="36" t="s">
        <v>104</v>
      </c>
      <c r="Q152" s="33" t="s">
        <v>105</v>
      </c>
      <c r="R152" s="33" t="s">
        <v>106</v>
      </c>
      <c r="S152" s="33" t="s">
        <v>94</v>
      </c>
      <c r="T152" s="33" t="s">
        <v>68</v>
      </c>
      <c r="U152" s="33">
        <v>41587</v>
      </c>
      <c r="V152" s="33" t="s">
        <v>69</v>
      </c>
      <c r="W152" s="33" t="s">
        <v>70</v>
      </c>
      <c r="X152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152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152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152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152" s="33" t="s">
        <v>95</v>
      </c>
      <c r="AC152" s="33" t="s">
        <v>95</v>
      </c>
      <c r="AD152" s="33">
        <v>26.9</v>
      </c>
      <c r="AE152" s="33" t="s">
        <v>96</v>
      </c>
      <c r="AF152" s="38" t="s">
        <v>97</v>
      </c>
      <c r="AG152" s="38" t="s">
        <v>75</v>
      </c>
      <c r="AH152" s="33">
        <v>37210</v>
      </c>
      <c r="AI152" s="38" t="s">
        <v>98</v>
      </c>
      <c r="AJ152" s="38"/>
      <c r="AK152" s="37">
        <v>30</v>
      </c>
      <c r="AL152" s="37">
        <v>125</v>
      </c>
      <c r="AM152" s="37">
        <f t="shared" si="18"/>
        <v>2000</v>
      </c>
      <c r="AN152" s="37">
        <v>0</v>
      </c>
      <c r="AO152" s="37">
        <v>0</v>
      </c>
      <c r="AP152" s="37">
        <v>0</v>
      </c>
      <c r="AQ152" s="37">
        <v>0</v>
      </c>
      <c r="AR152" s="37">
        <v>0</v>
      </c>
      <c r="AS152" s="37"/>
      <c r="AT152" s="37">
        <f t="shared" si="19"/>
        <v>0</v>
      </c>
      <c r="AU152" s="47">
        <v>0</v>
      </c>
      <c r="AV152" s="47">
        <v>0</v>
      </c>
      <c r="AW152" s="37">
        <v>0</v>
      </c>
      <c r="AX152" s="37">
        <v>0</v>
      </c>
      <c r="AY152" s="30"/>
      <c r="AZ152" s="30"/>
      <c r="BA152" s="30"/>
      <c r="BB152" s="30"/>
    </row>
    <row r="153" spans="1:54" x14ac:dyDescent="0.25">
      <c r="A153" s="33" t="s">
        <v>107</v>
      </c>
      <c r="B153" s="33" t="s">
        <v>91</v>
      </c>
      <c r="C153" s="34">
        <v>45550</v>
      </c>
      <c r="D153" s="43" t="s">
        <v>118</v>
      </c>
      <c r="E153" s="34">
        <v>45577</v>
      </c>
      <c r="F153" s="33" t="s">
        <v>93</v>
      </c>
      <c r="G153" s="44">
        <v>14</v>
      </c>
      <c r="H153" s="33">
        <v>420</v>
      </c>
      <c r="I153" s="33">
        <f>WasteShipmentData[[#This Row],[Weight in lbs per unit]]*WasteShipmentData[[#This Row],[Qty]]</f>
        <v>5880</v>
      </c>
      <c r="J153" s="48">
        <f>WasteShipmentData[[#This Row],[Standardized Volume in lbs]]/2.2</f>
        <v>2672.7272727272725</v>
      </c>
      <c r="K153" s="48">
        <v>420</v>
      </c>
      <c r="L153" s="33" t="s">
        <v>100</v>
      </c>
      <c r="M153" s="33" t="s">
        <v>101</v>
      </c>
      <c r="N153" s="33" t="s">
        <v>102</v>
      </c>
      <c r="O153" s="33" t="s">
        <v>103</v>
      </c>
      <c r="P153" s="36" t="s">
        <v>104</v>
      </c>
      <c r="Q153" s="33" t="s">
        <v>105</v>
      </c>
      <c r="R153" s="33" t="s">
        <v>106</v>
      </c>
      <c r="S153" s="33" t="s">
        <v>94</v>
      </c>
      <c r="T153" s="33" t="s">
        <v>68</v>
      </c>
      <c r="U153" s="33">
        <v>41588</v>
      </c>
      <c r="V153" s="33" t="s">
        <v>69</v>
      </c>
      <c r="W153" s="33" t="s">
        <v>70</v>
      </c>
      <c r="X153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153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153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153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153" s="33" t="s">
        <v>95</v>
      </c>
      <c r="AC153" s="33" t="s">
        <v>95</v>
      </c>
      <c r="AD153" s="33">
        <v>26.9</v>
      </c>
      <c r="AE153" s="33" t="s">
        <v>96</v>
      </c>
      <c r="AF153" s="38" t="s">
        <v>97</v>
      </c>
      <c r="AG153" s="38" t="s">
        <v>75</v>
      </c>
      <c r="AH153" s="33">
        <v>37210</v>
      </c>
      <c r="AI153" s="38" t="s">
        <v>98</v>
      </c>
      <c r="AJ153" s="38"/>
      <c r="AK153" s="37">
        <v>30</v>
      </c>
      <c r="AL153" s="37">
        <v>125</v>
      </c>
      <c r="AM153" s="37">
        <f t="shared" si="18"/>
        <v>1750</v>
      </c>
      <c r="AN153" s="37">
        <v>0</v>
      </c>
      <c r="AO153" s="37">
        <v>0</v>
      </c>
      <c r="AP153" s="37">
        <v>0</v>
      </c>
      <c r="AQ153" s="37">
        <v>0</v>
      </c>
      <c r="AR153" s="37">
        <v>0</v>
      </c>
      <c r="AS153" s="37"/>
      <c r="AT153" s="37">
        <f t="shared" si="19"/>
        <v>0</v>
      </c>
      <c r="AU153" s="47">
        <v>0</v>
      </c>
      <c r="AV153" s="47">
        <v>0</v>
      </c>
      <c r="AW153" s="37">
        <v>0</v>
      </c>
      <c r="AX153" s="37">
        <v>0</v>
      </c>
      <c r="AY153" s="30"/>
      <c r="AZ153" s="30"/>
      <c r="BA153" s="30"/>
      <c r="BB153" s="30"/>
    </row>
    <row r="154" spans="1:54" x14ac:dyDescent="0.25">
      <c r="A154" s="33" t="s">
        <v>108</v>
      </c>
      <c r="B154" s="33" t="s">
        <v>91</v>
      </c>
      <c r="C154" s="34">
        <v>45550</v>
      </c>
      <c r="D154" s="43" t="s">
        <v>118</v>
      </c>
      <c r="E154" s="34">
        <v>45577</v>
      </c>
      <c r="F154" s="33" t="s">
        <v>93</v>
      </c>
      <c r="G154" s="44">
        <v>1</v>
      </c>
      <c r="H154" s="33">
        <v>300</v>
      </c>
      <c r="I154" s="33">
        <f>WasteShipmentData[[#This Row],[Weight in lbs per unit]]*WasteShipmentData[[#This Row],[Qty]]</f>
        <v>300</v>
      </c>
      <c r="J154" s="48">
        <f>WasteShipmentData[[#This Row],[Standardized Volume in lbs]]/2.2</f>
        <v>136.36363636363635</v>
      </c>
      <c r="K154" s="48">
        <v>2000</v>
      </c>
      <c r="L154" s="33" t="s">
        <v>100</v>
      </c>
      <c r="M154" s="33" t="s">
        <v>101</v>
      </c>
      <c r="N154" s="33" t="s">
        <v>102</v>
      </c>
      <c r="O154" s="33" t="s">
        <v>103</v>
      </c>
      <c r="P154" s="36" t="s">
        <v>104</v>
      </c>
      <c r="Q154" s="33" t="s">
        <v>105</v>
      </c>
      <c r="R154" s="33" t="s">
        <v>106</v>
      </c>
      <c r="S154" s="33" t="s">
        <v>94</v>
      </c>
      <c r="T154" s="33" t="s">
        <v>68</v>
      </c>
      <c r="U154" s="33">
        <v>41589</v>
      </c>
      <c r="V154" s="33" t="s">
        <v>69</v>
      </c>
      <c r="W154" s="33" t="s">
        <v>70</v>
      </c>
      <c r="X154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154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154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154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154" s="33" t="s">
        <v>95</v>
      </c>
      <c r="AC154" s="33" t="s">
        <v>95</v>
      </c>
      <c r="AD154" s="33">
        <v>26.9</v>
      </c>
      <c r="AE154" s="33" t="s">
        <v>96</v>
      </c>
      <c r="AF154" s="38" t="s">
        <v>97</v>
      </c>
      <c r="AG154" s="38" t="s">
        <v>75</v>
      </c>
      <c r="AH154" s="33">
        <v>37210</v>
      </c>
      <c r="AI154" s="38" t="s">
        <v>98</v>
      </c>
      <c r="AJ154" s="38"/>
      <c r="AK154" s="37">
        <v>30</v>
      </c>
      <c r="AL154" s="37">
        <v>425</v>
      </c>
      <c r="AM154" s="37">
        <f t="shared" si="18"/>
        <v>425</v>
      </c>
      <c r="AN154" s="37">
        <v>0</v>
      </c>
      <c r="AO154" s="37">
        <v>0</v>
      </c>
      <c r="AP154" s="37">
        <v>0</v>
      </c>
      <c r="AQ154" s="37">
        <v>0</v>
      </c>
      <c r="AR154" s="37">
        <v>0</v>
      </c>
      <c r="AS154" s="37"/>
      <c r="AT154" s="37">
        <f t="shared" si="19"/>
        <v>0</v>
      </c>
      <c r="AU154" s="47">
        <v>0</v>
      </c>
      <c r="AV154" s="47">
        <v>0</v>
      </c>
      <c r="AW154" s="37">
        <v>0</v>
      </c>
      <c r="AX154" s="37">
        <v>0</v>
      </c>
      <c r="AY154" s="30"/>
      <c r="AZ154" s="30"/>
      <c r="BA154" s="30"/>
      <c r="BB154" s="30"/>
    </row>
    <row r="155" spans="1:54" x14ac:dyDescent="0.25">
      <c r="A155" s="33" t="s">
        <v>79</v>
      </c>
      <c r="B155" s="33" t="s">
        <v>80</v>
      </c>
      <c r="C155" s="39">
        <v>45551</v>
      </c>
      <c r="D155" s="33">
        <v>410203</v>
      </c>
      <c r="E155" s="34" t="s">
        <v>63</v>
      </c>
      <c r="F155" s="33" t="s">
        <v>64</v>
      </c>
      <c r="G155" s="33">
        <v>10.6</v>
      </c>
      <c r="H155" s="33">
        <v>2000</v>
      </c>
      <c r="I155" s="33">
        <f t="shared" ref="I155:I177" si="20">G155*2000</f>
        <v>21200</v>
      </c>
      <c r="J155" s="48">
        <f>WasteShipmentData[[#This Row],[Standardized Volume in lbs]]/2.2</f>
        <v>9636.363636363636</v>
      </c>
      <c r="K155" s="48">
        <f>8*2000</f>
        <v>16000</v>
      </c>
      <c r="L155" s="33" t="s">
        <v>65</v>
      </c>
      <c r="M155" s="33" t="s">
        <v>63</v>
      </c>
      <c r="N155" s="33" t="s">
        <v>66</v>
      </c>
      <c r="O155" s="33" t="s">
        <v>63</v>
      </c>
      <c r="P155" s="33" t="s">
        <v>63</v>
      </c>
      <c r="Q155" s="33" t="s">
        <v>63</v>
      </c>
      <c r="R155" s="33" t="s">
        <v>63</v>
      </c>
      <c r="S155" s="33" t="s">
        <v>67</v>
      </c>
      <c r="T155" s="33" t="s">
        <v>68</v>
      </c>
      <c r="U155" s="33" t="s">
        <v>63</v>
      </c>
      <c r="V155" s="33" t="s">
        <v>69</v>
      </c>
      <c r="W155" s="33" t="s">
        <v>70</v>
      </c>
      <c r="X155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155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155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155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155" s="33" t="s">
        <v>71</v>
      </c>
      <c r="AC155" s="33" t="s">
        <v>72</v>
      </c>
      <c r="AD155" s="33">
        <v>12.3</v>
      </c>
      <c r="AE155" s="33" t="s">
        <v>73</v>
      </c>
      <c r="AF155" s="38" t="s">
        <v>74</v>
      </c>
      <c r="AG155" s="38" t="s">
        <v>75</v>
      </c>
      <c r="AH155" s="33">
        <v>37143</v>
      </c>
      <c r="AI155" s="33" t="s">
        <v>63</v>
      </c>
      <c r="AJ155" s="33" t="s">
        <v>71</v>
      </c>
      <c r="AK155" s="37">
        <v>717.46</v>
      </c>
      <c r="AL155" s="37">
        <v>80.709999999999994</v>
      </c>
      <c r="AM155" s="37">
        <f t="shared" si="18"/>
        <v>855.52599999999995</v>
      </c>
      <c r="AN155" s="37">
        <v>0</v>
      </c>
      <c r="AO155" s="37">
        <v>0</v>
      </c>
      <c r="AP155" s="37">
        <v>0</v>
      </c>
      <c r="AQ155" s="37">
        <v>122.97</v>
      </c>
      <c r="AR155" s="37">
        <v>400</v>
      </c>
      <c r="AS155" s="37">
        <v>45</v>
      </c>
      <c r="AT155" s="37">
        <f t="shared" si="19"/>
        <v>477</v>
      </c>
      <c r="AU155" s="47">
        <v>0</v>
      </c>
      <c r="AV155" s="47">
        <v>0</v>
      </c>
      <c r="AW155" s="37">
        <v>0</v>
      </c>
      <c r="AX155" s="37">
        <v>75</v>
      </c>
      <c r="AY155" s="30"/>
      <c r="AZ155" s="30"/>
      <c r="BA155" s="30"/>
      <c r="BB155" s="30"/>
    </row>
    <row r="156" spans="1:54" x14ac:dyDescent="0.25">
      <c r="A156" s="33" t="s">
        <v>79</v>
      </c>
      <c r="B156" s="33" t="s">
        <v>80</v>
      </c>
      <c r="C156" s="39">
        <v>45551</v>
      </c>
      <c r="D156" s="33">
        <v>410204</v>
      </c>
      <c r="E156" s="34" t="s">
        <v>63</v>
      </c>
      <c r="F156" s="33" t="s">
        <v>64</v>
      </c>
      <c r="G156" s="33">
        <v>10.09</v>
      </c>
      <c r="H156" s="33">
        <v>2000</v>
      </c>
      <c r="I156" s="33">
        <f t="shared" si="20"/>
        <v>20180</v>
      </c>
      <c r="J156" s="48">
        <f>WasteShipmentData[[#This Row],[Standardized Volume in lbs]]/2.2</f>
        <v>9172.7272727272721</v>
      </c>
      <c r="K156" s="48">
        <f>8*2000</f>
        <v>16000</v>
      </c>
      <c r="L156" s="33" t="s">
        <v>65</v>
      </c>
      <c r="M156" s="33" t="s">
        <v>63</v>
      </c>
      <c r="N156" s="33" t="s">
        <v>66</v>
      </c>
      <c r="O156" s="33" t="s">
        <v>63</v>
      </c>
      <c r="P156" s="33" t="s">
        <v>63</v>
      </c>
      <c r="Q156" s="33" t="s">
        <v>63</v>
      </c>
      <c r="R156" s="33" t="s">
        <v>63</v>
      </c>
      <c r="S156" s="33" t="s">
        <v>67</v>
      </c>
      <c r="T156" s="33" t="s">
        <v>68</v>
      </c>
      <c r="U156" s="33" t="s">
        <v>63</v>
      </c>
      <c r="V156" s="33" t="s">
        <v>69</v>
      </c>
      <c r="W156" s="33" t="s">
        <v>70</v>
      </c>
      <c r="X156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156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156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156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156" s="33" t="s">
        <v>71</v>
      </c>
      <c r="AC156" s="33" t="s">
        <v>72</v>
      </c>
      <c r="AD156" s="33">
        <v>12.3</v>
      </c>
      <c r="AE156" s="33" t="s">
        <v>73</v>
      </c>
      <c r="AF156" s="38" t="s">
        <v>74</v>
      </c>
      <c r="AG156" s="38" t="s">
        <v>75</v>
      </c>
      <c r="AH156" s="33">
        <v>37143</v>
      </c>
      <c r="AI156" s="33" t="s">
        <v>63</v>
      </c>
      <c r="AJ156" s="33" t="s">
        <v>71</v>
      </c>
      <c r="AK156" s="37">
        <v>717.46</v>
      </c>
      <c r="AL156" s="37">
        <v>80.709999999999994</v>
      </c>
      <c r="AM156" s="37">
        <f t="shared" si="18"/>
        <v>814.36389999999994</v>
      </c>
      <c r="AN156" s="37">
        <v>0</v>
      </c>
      <c r="AO156" s="37">
        <v>0</v>
      </c>
      <c r="AP156" s="37">
        <v>0</v>
      </c>
      <c r="AQ156" s="37">
        <v>122.97</v>
      </c>
      <c r="AR156" s="37">
        <v>400</v>
      </c>
      <c r="AS156" s="37">
        <v>45</v>
      </c>
      <c r="AT156" s="37">
        <f t="shared" si="19"/>
        <v>454.05</v>
      </c>
      <c r="AU156" s="47">
        <v>0</v>
      </c>
      <c r="AV156" s="47">
        <v>0</v>
      </c>
      <c r="AW156" s="37">
        <v>0</v>
      </c>
      <c r="AX156" s="37">
        <v>75</v>
      </c>
      <c r="AY156" s="30"/>
      <c r="AZ156" s="30"/>
      <c r="BA156" s="30"/>
      <c r="BB156" s="30"/>
    </row>
    <row r="157" spans="1:54" x14ac:dyDescent="0.25">
      <c r="A157" s="33" t="s">
        <v>61</v>
      </c>
      <c r="B157" s="33" t="s">
        <v>62</v>
      </c>
      <c r="C157" s="39">
        <v>45551</v>
      </c>
      <c r="D157" s="33">
        <v>410201</v>
      </c>
      <c r="E157" s="34" t="s">
        <v>63</v>
      </c>
      <c r="F157" s="33" t="s">
        <v>64</v>
      </c>
      <c r="G157" s="33">
        <v>3.91</v>
      </c>
      <c r="H157" s="33">
        <v>2000</v>
      </c>
      <c r="I157" s="33">
        <f t="shared" si="20"/>
        <v>7820</v>
      </c>
      <c r="J157" s="48">
        <f>WasteShipmentData[[#This Row],[Standardized Volume in lbs]]/2.2</f>
        <v>3554.545454545454</v>
      </c>
      <c r="K157" s="48">
        <f>8*2000</f>
        <v>16000</v>
      </c>
      <c r="L157" s="33" t="s">
        <v>65</v>
      </c>
      <c r="M157" s="33" t="s">
        <v>63</v>
      </c>
      <c r="N157" s="33" t="s">
        <v>66</v>
      </c>
      <c r="O157" s="33" t="s">
        <v>63</v>
      </c>
      <c r="P157" s="33" t="s">
        <v>63</v>
      </c>
      <c r="Q157" s="33" t="s">
        <v>63</v>
      </c>
      <c r="R157" s="33" t="s">
        <v>63</v>
      </c>
      <c r="S157" s="33" t="s">
        <v>77</v>
      </c>
      <c r="T157" s="33" t="s">
        <v>78</v>
      </c>
      <c r="U157" s="33" t="s">
        <v>63</v>
      </c>
      <c r="V157" s="33" t="s">
        <v>69</v>
      </c>
      <c r="W157" s="33" t="s">
        <v>70</v>
      </c>
      <c r="X157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157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157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157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157" s="33" t="s">
        <v>71</v>
      </c>
      <c r="AC157" s="33" t="s">
        <v>72</v>
      </c>
      <c r="AD157" s="33">
        <v>12.3</v>
      </c>
      <c r="AE157" s="33" t="s">
        <v>73</v>
      </c>
      <c r="AF157" s="38" t="s">
        <v>74</v>
      </c>
      <c r="AG157" s="38" t="s">
        <v>75</v>
      </c>
      <c r="AH157" s="33">
        <v>37143</v>
      </c>
      <c r="AI157" s="33" t="s">
        <v>63</v>
      </c>
      <c r="AJ157" s="33" t="s">
        <v>71</v>
      </c>
      <c r="AK157" s="37">
        <v>450.98</v>
      </c>
      <c r="AL157" s="37">
        <v>108.58</v>
      </c>
      <c r="AM157" s="37">
        <f t="shared" si="18"/>
        <v>424.5478</v>
      </c>
      <c r="AN157" s="37">
        <v>0</v>
      </c>
      <c r="AO157" s="37">
        <v>0</v>
      </c>
      <c r="AP157" s="37">
        <v>0</v>
      </c>
      <c r="AQ157" s="37">
        <v>0</v>
      </c>
      <c r="AR157" s="37">
        <v>275</v>
      </c>
      <c r="AS157" s="37">
        <v>90</v>
      </c>
      <c r="AT157" s="37">
        <f t="shared" si="19"/>
        <v>351.90000000000003</v>
      </c>
      <c r="AU157" s="47">
        <v>0</v>
      </c>
      <c r="AV157" s="47">
        <v>0</v>
      </c>
      <c r="AW157" s="37">
        <v>0</v>
      </c>
      <c r="AX157" s="37">
        <v>0</v>
      </c>
      <c r="AY157" s="30"/>
      <c r="AZ157" s="30"/>
      <c r="BA157" s="30"/>
      <c r="BB157" s="30"/>
    </row>
    <row r="158" spans="1:54" x14ac:dyDescent="0.25">
      <c r="A158" s="33" t="s">
        <v>61</v>
      </c>
      <c r="B158" s="33" t="s">
        <v>62</v>
      </c>
      <c r="C158" s="39">
        <v>45551</v>
      </c>
      <c r="D158" s="33">
        <v>410202</v>
      </c>
      <c r="E158" s="34" t="s">
        <v>63</v>
      </c>
      <c r="F158" s="33" t="s">
        <v>64</v>
      </c>
      <c r="G158" s="33">
        <v>1.53</v>
      </c>
      <c r="H158" s="33">
        <v>2000</v>
      </c>
      <c r="I158" s="33">
        <f t="shared" si="20"/>
        <v>3060</v>
      </c>
      <c r="J158" s="48">
        <f>WasteShipmentData[[#This Row],[Standardized Volume in lbs]]/2.2</f>
        <v>1390.9090909090908</v>
      </c>
      <c r="K158" s="48">
        <f>8*2000</f>
        <v>16000</v>
      </c>
      <c r="L158" s="33" t="s">
        <v>65</v>
      </c>
      <c r="M158" s="33" t="s">
        <v>63</v>
      </c>
      <c r="N158" s="33" t="s">
        <v>66</v>
      </c>
      <c r="O158" s="33" t="s">
        <v>63</v>
      </c>
      <c r="P158" s="33" t="s">
        <v>63</v>
      </c>
      <c r="Q158" s="33" t="s">
        <v>63</v>
      </c>
      <c r="R158" s="33" t="s">
        <v>63</v>
      </c>
      <c r="S158" s="33" t="s">
        <v>77</v>
      </c>
      <c r="T158" s="33" t="s">
        <v>78</v>
      </c>
      <c r="U158" s="33" t="s">
        <v>63</v>
      </c>
      <c r="V158" s="33" t="s">
        <v>69</v>
      </c>
      <c r="W158" s="33" t="s">
        <v>70</v>
      </c>
      <c r="X158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158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158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158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158" s="33" t="s">
        <v>71</v>
      </c>
      <c r="AC158" s="33" t="s">
        <v>72</v>
      </c>
      <c r="AD158" s="33">
        <v>12.3</v>
      </c>
      <c r="AE158" s="33" t="s">
        <v>73</v>
      </c>
      <c r="AF158" s="38" t="s">
        <v>74</v>
      </c>
      <c r="AG158" s="38" t="s">
        <v>75</v>
      </c>
      <c r="AH158" s="33">
        <v>37143</v>
      </c>
      <c r="AI158" s="33" t="s">
        <v>63</v>
      </c>
      <c r="AJ158" s="33" t="s">
        <v>71</v>
      </c>
      <c r="AK158" s="37">
        <v>450.98</v>
      </c>
      <c r="AL158" s="37">
        <v>108.58</v>
      </c>
      <c r="AM158" s="37">
        <f t="shared" si="18"/>
        <v>166.12739999999999</v>
      </c>
      <c r="AN158" s="37">
        <v>0</v>
      </c>
      <c r="AO158" s="37">
        <v>0</v>
      </c>
      <c r="AP158" s="37">
        <v>0</v>
      </c>
      <c r="AQ158" s="37">
        <v>0</v>
      </c>
      <c r="AR158" s="37">
        <v>275</v>
      </c>
      <c r="AS158" s="37">
        <v>90</v>
      </c>
      <c r="AT158" s="37">
        <f t="shared" si="19"/>
        <v>137.69999999999999</v>
      </c>
      <c r="AU158" s="47">
        <v>0</v>
      </c>
      <c r="AV158" s="47">
        <v>0</v>
      </c>
      <c r="AW158" s="37">
        <v>0</v>
      </c>
      <c r="AX158" s="37">
        <v>0</v>
      </c>
      <c r="AY158" s="30"/>
      <c r="AZ158" s="30"/>
      <c r="BA158" s="30"/>
      <c r="BB158" s="30"/>
    </row>
    <row r="159" spans="1:54" x14ac:dyDescent="0.25">
      <c r="A159" s="33" t="s">
        <v>61</v>
      </c>
      <c r="B159" s="33" t="s">
        <v>62</v>
      </c>
      <c r="C159" s="39">
        <v>45552</v>
      </c>
      <c r="D159" s="33">
        <v>410205</v>
      </c>
      <c r="E159" s="34" t="s">
        <v>63</v>
      </c>
      <c r="F159" s="33" t="s">
        <v>64</v>
      </c>
      <c r="G159" s="33">
        <v>0.74</v>
      </c>
      <c r="H159" s="33">
        <v>2000</v>
      </c>
      <c r="I159" s="33">
        <f t="shared" si="20"/>
        <v>1480</v>
      </c>
      <c r="J159" s="48">
        <f>WasteShipmentData[[#This Row],[Standardized Volume in lbs]]/2.2</f>
        <v>672.72727272727263</v>
      </c>
      <c r="K159" s="48">
        <v>2500</v>
      </c>
      <c r="L159" s="33" t="s">
        <v>65</v>
      </c>
      <c r="M159" s="33" t="s">
        <v>63</v>
      </c>
      <c r="N159" s="33" t="s">
        <v>66</v>
      </c>
      <c r="O159" s="33" t="s">
        <v>63</v>
      </c>
      <c r="P159" s="33" t="s">
        <v>63</v>
      </c>
      <c r="Q159" s="33" t="s">
        <v>63</v>
      </c>
      <c r="R159" s="33" t="s">
        <v>63</v>
      </c>
      <c r="S159" s="33" t="s">
        <v>67</v>
      </c>
      <c r="T159" s="33" t="s">
        <v>68</v>
      </c>
      <c r="U159" s="33" t="s">
        <v>63</v>
      </c>
      <c r="V159" s="33" t="s">
        <v>69</v>
      </c>
      <c r="W159" s="33" t="s">
        <v>70</v>
      </c>
      <c r="X159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159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159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159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159" s="33" t="s">
        <v>71</v>
      </c>
      <c r="AC159" s="33" t="s">
        <v>72</v>
      </c>
      <c r="AD159" s="33">
        <v>12.3</v>
      </c>
      <c r="AE159" s="33" t="s">
        <v>73</v>
      </c>
      <c r="AF159" s="38" t="s">
        <v>74</v>
      </c>
      <c r="AG159" s="38" t="s">
        <v>75</v>
      </c>
      <c r="AH159" s="33">
        <v>37143</v>
      </c>
      <c r="AI159" s="33" t="s">
        <v>63</v>
      </c>
      <c r="AJ159" s="33" t="s">
        <v>71</v>
      </c>
      <c r="AK159" s="37">
        <v>450.98</v>
      </c>
      <c r="AL159" s="37">
        <v>108.58</v>
      </c>
      <c r="AM159" s="37">
        <f t="shared" si="18"/>
        <v>80.349199999999996</v>
      </c>
      <c r="AN159" s="37">
        <v>0</v>
      </c>
      <c r="AO159" s="37">
        <v>0</v>
      </c>
      <c r="AP159" s="37">
        <v>0</v>
      </c>
      <c r="AQ159" s="37">
        <v>0</v>
      </c>
      <c r="AR159" s="37">
        <v>275</v>
      </c>
      <c r="AS159" s="37">
        <v>90</v>
      </c>
      <c r="AT159" s="37">
        <f t="shared" si="19"/>
        <v>66.599999999999994</v>
      </c>
      <c r="AU159" s="47">
        <v>0</v>
      </c>
      <c r="AV159" s="47">
        <v>0</v>
      </c>
      <c r="AW159" s="37">
        <v>0</v>
      </c>
      <c r="AX159" s="37">
        <v>0</v>
      </c>
      <c r="AY159" s="30"/>
      <c r="AZ159" s="30"/>
      <c r="BA159" s="30"/>
      <c r="BB159" s="30"/>
    </row>
    <row r="160" spans="1:54" x14ac:dyDescent="0.25">
      <c r="A160" s="33" t="s">
        <v>61</v>
      </c>
      <c r="B160" s="33" t="s">
        <v>62</v>
      </c>
      <c r="C160" s="39">
        <v>45552</v>
      </c>
      <c r="D160" s="33">
        <v>410206</v>
      </c>
      <c r="E160" s="34" t="s">
        <v>63</v>
      </c>
      <c r="F160" s="33" t="s">
        <v>64</v>
      </c>
      <c r="G160" s="33">
        <v>1.81</v>
      </c>
      <c r="H160" s="33">
        <v>2000</v>
      </c>
      <c r="I160" s="33">
        <f t="shared" si="20"/>
        <v>3620</v>
      </c>
      <c r="J160" s="48">
        <f>WasteShipmentData[[#This Row],[Standardized Volume in lbs]]/2.2</f>
        <v>1645.4545454545453</v>
      </c>
      <c r="K160" s="48">
        <v>2500</v>
      </c>
      <c r="L160" s="33" t="s">
        <v>65</v>
      </c>
      <c r="M160" s="33" t="s">
        <v>63</v>
      </c>
      <c r="N160" s="33" t="s">
        <v>66</v>
      </c>
      <c r="O160" s="33" t="s">
        <v>63</v>
      </c>
      <c r="P160" s="33" t="s">
        <v>63</v>
      </c>
      <c r="Q160" s="33" t="s">
        <v>63</v>
      </c>
      <c r="R160" s="33" t="s">
        <v>63</v>
      </c>
      <c r="S160" s="33" t="s">
        <v>67</v>
      </c>
      <c r="T160" s="33" t="s">
        <v>68</v>
      </c>
      <c r="U160" s="33" t="s">
        <v>63</v>
      </c>
      <c r="V160" s="33" t="s">
        <v>69</v>
      </c>
      <c r="W160" s="33" t="s">
        <v>70</v>
      </c>
      <c r="X160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160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160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160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160" s="33" t="s">
        <v>71</v>
      </c>
      <c r="AC160" s="33" t="s">
        <v>110</v>
      </c>
      <c r="AD160" s="33">
        <v>26.6</v>
      </c>
      <c r="AE160" s="33" t="s">
        <v>111</v>
      </c>
      <c r="AF160" s="38" t="s">
        <v>97</v>
      </c>
      <c r="AG160" s="38" t="s">
        <v>75</v>
      </c>
      <c r="AH160" s="33">
        <v>37210</v>
      </c>
      <c r="AI160" s="38" t="s">
        <v>63</v>
      </c>
      <c r="AJ160" s="33" t="s">
        <v>71</v>
      </c>
      <c r="AK160" s="37">
        <v>450.98</v>
      </c>
      <c r="AL160" s="37">
        <v>108.58</v>
      </c>
      <c r="AM160" s="37">
        <f t="shared" si="18"/>
        <v>196.52979999999999</v>
      </c>
      <c r="AN160" s="37">
        <v>0</v>
      </c>
      <c r="AO160" s="37">
        <v>0</v>
      </c>
      <c r="AP160" s="37">
        <v>0</v>
      </c>
      <c r="AQ160" s="37">
        <v>0</v>
      </c>
      <c r="AR160" s="37">
        <v>275</v>
      </c>
      <c r="AS160" s="37">
        <v>90</v>
      </c>
      <c r="AT160" s="37">
        <f t="shared" si="19"/>
        <v>162.9</v>
      </c>
      <c r="AU160" s="47">
        <v>0</v>
      </c>
      <c r="AV160" s="47">
        <v>0</v>
      </c>
      <c r="AW160" s="37">
        <v>0</v>
      </c>
      <c r="AX160" s="37">
        <v>0</v>
      </c>
      <c r="AY160" s="30"/>
      <c r="AZ160" s="30"/>
      <c r="BA160" s="30"/>
      <c r="BB160" s="30"/>
    </row>
    <row r="161" spans="1:54" x14ac:dyDescent="0.25">
      <c r="A161" s="33" t="s">
        <v>79</v>
      </c>
      <c r="B161" s="33" t="s">
        <v>80</v>
      </c>
      <c r="C161" s="39">
        <v>45553</v>
      </c>
      <c r="D161" s="33">
        <v>410207</v>
      </c>
      <c r="E161" s="34" t="s">
        <v>63</v>
      </c>
      <c r="F161" s="33" t="s">
        <v>64</v>
      </c>
      <c r="G161" s="33">
        <v>10.029999999999999</v>
      </c>
      <c r="H161" s="33">
        <v>2000</v>
      </c>
      <c r="I161" s="33">
        <f t="shared" si="20"/>
        <v>20060</v>
      </c>
      <c r="J161" s="48">
        <f>WasteShipmentData[[#This Row],[Standardized Volume in lbs]]/2.2</f>
        <v>9118.181818181818</v>
      </c>
      <c r="K161" s="48">
        <f t="shared" ref="K161:K166" si="21">8*2000</f>
        <v>16000</v>
      </c>
      <c r="L161" s="33" t="s">
        <v>65</v>
      </c>
      <c r="M161" s="33" t="s">
        <v>63</v>
      </c>
      <c r="N161" s="33" t="s">
        <v>66</v>
      </c>
      <c r="O161" s="33" t="s">
        <v>63</v>
      </c>
      <c r="P161" s="33" t="s">
        <v>63</v>
      </c>
      <c r="Q161" s="33" t="s">
        <v>63</v>
      </c>
      <c r="R161" s="33" t="s">
        <v>63</v>
      </c>
      <c r="S161" s="33" t="s">
        <v>67</v>
      </c>
      <c r="T161" s="33" t="s">
        <v>68</v>
      </c>
      <c r="U161" s="33" t="s">
        <v>63</v>
      </c>
      <c r="V161" s="33" t="s">
        <v>69</v>
      </c>
      <c r="W161" s="33" t="s">
        <v>70</v>
      </c>
      <c r="X161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161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161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161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161" s="33" t="s">
        <v>71</v>
      </c>
      <c r="AC161" s="33" t="s">
        <v>72</v>
      </c>
      <c r="AD161" s="33">
        <v>12.3</v>
      </c>
      <c r="AE161" s="33" t="s">
        <v>73</v>
      </c>
      <c r="AF161" s="38" t="s">
        <v>74</v>
      </c>
      <c r="AG161" s="38" t="s">
        <v>75</v>
      </c>
      <c r="AH161" s="33">
        <v>37143</v>
      </c>
      <c r="AI161" s="33" t="s">
        <v>63</v>
      </c>
      <c r="AJ161" s="33" t="s">
        <v>71</v>
      </c>
      <c r="AK161" s="37">
        <v>717.46</v>
      </c>
      <c r="AL161" s="37">
        <v>80.709999999999994</v>
      </c>
      <c r="AM161" s="37">
        <f t="shared" si="18"/>
        <v>809.52129999999988</v>
      </c>
      <c r="AN161" s="37">
        <v>0</v>
      </c>
      <c r="AO161" s="37">
        <v>0</v>
      </c>
      <c r="AP161" s="37">
        <v>0</v>
      </c>
      <c r="AQ161" s="37">
        <v>122.97</v>
      </c>
      <c r="AR161" s="37">
        <v>400</v>
      </c>
      <c r="AS161" s="37">
        <v>45</v>
      </c>
      <c r="AT161" s="37">
        <f t="shared" si="19"/>
        <v>451.34999999999997</v>
      </c>
      <c r="AU161" s="47">
        <v>0</v>
      </c>
      <c r="AV161" s="47">
        <v>0</v>
      </c>
      <c r="AW161" s="37">
        <v>0</v>
      </c>
      <c r="AX161" s="37">
        <v>75</v>
      </c>
      <c r="AY161" s="30"/>
      <c r="AZ161" s="30"/>
      <c r="BA161" s="30"/>
      <c r="BB161" s="30"/>
    </row>
    <row r="162" spans="1:54" x14ac:dyDescent="0.25">
      <c r="A162" s="33" t="s">
        <v>79</v>
      </c>
      <c r="B162" s="33" t="s">
        <v>80</v>
      </c>
      <c r="C162" s="39">
        <v>45554</v>
      </c>
      <c r="D162" s="33">
        <v>410210</v>
      </c>
      <c r="E162" s="34" t="s">
        <v>63</v>
      </c>
      <c r="F162" s="33" t="s">
        <v>64</v>
      </c>
      <c r="G162" s="33">
        <v>10</v>
      </c>
      <c r="H162" s="33">
        <v>2000</v>
      </c>
      <c r="I162" s="33">
        <f t="shared" si="20"/>
        <v>20000</v>
      </c>
      <c r="J162" s="48">
        <f>WasteShipmentData[[#This Row],[Standardized Volume in lbs]]/2.2</f>
        <v>9090.9090909090901</v>
      </c>
      <c r="K162" s="48">
        <f t="shared" si="21"/>
        <v>16000</v>
      </c>
      <c r="L162" s="33" t="s">
        <v>65</v>
      </c>
      <c r="M162" s="33" t="s">
        <v>63</v>
      </c>
      <c r="N162" s="33" t="s">
        <v>66</v>
      </c>
      <c r="O162" s="33" t="s">
        <v>63</v>
      </c>
      <c r="P162" s="33" t="s">
        <v>63</v>
      </c>
      <c r="Q162" s="33" t="s">
        <v>63</v>
      </c>
      <c r="R162" s="33" t="s">
        <v>63</v>
      </c>
      <c r="S162" s="33" t="s">
        <v>67</v>
      </c>
      <c r="T162" s="33" t="s">
        <v>68</v>
      </c>
      <c r="U162" s="33" t="s">
        <v>63</v>
      </c>
      <c r="V162" s="33" t="s">
        <v>69</v>
      </c>
      <c r="W162" s="33" t="s">
        <v>70</v>
      </c>
      <c r="X162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162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162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162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162" s="33" t="s">
        <v>71</v>
      </c>
      <c r="AC162" s="33" t="s">
        <v>72</v>
      </c>
      <c r="AD162" s="33">
        <v>12.3</v>
      </c>
      <c r="AE162" s="33" t="s">
        <v>73</v>
      </c>
      <c r="AF162" s="38" t="s">
        <v>74</v>
      </c>
      <c r="AG162" s="38" t="s">
        <v>75</v>
      </c>
      <c r="AH162" s="33">
        <v>37143</v>
      </c>
      <c r="AI162" s="33" t="s">
        <v>63</v>
      </c>
      <c r="AJ162" s="33" t="s">
        <v>71</v>
      </c>
      <c r="AK162" s="37">
        <v>717.46</v>
      </c>
      <c r="AL162" s="47">
        <v>80.709999999999994</v>
      </c>
      <c r="AM162" s="37">
        <f t="shared" si="18"/>
        <v>807.09999999999991</v>
      </c>
      <c r="AN162" s="37">
        <v>0</v>
      </c>
      <c r="AO162" s="37">
        <v>0</v>
      </c>
      <c r="AP162" s="37">
        <v>0</v>
      </c>
      <c r="AQ162" s="37">
        <v>122.97</v>
      </c>
      <c r="AR162" s="37">
        <v>400</v>
      </c>
      <c r="AS162" s="37">
        <v>45</v>
      </c>
      <c r="AT162" s="37">
        <f t="shared" si="19"/>
        <v>450</v>
      </c>
      <c r="AU162" s="47">
        <v>0</v>
      </c>
      <c r="AV162" s="47">
        <v>0</v>
      </c>
      <c r="AW162" s="37">
        <v>0</v>
      </c>
      <c r="AX162" s="37">
        <v>75</v>
      </c>
      <c r="AY162" s="30"/>
      <c r="AZ162" s="30"/>
      <c r="BA162" s="30"/>
      <c r="BB162" s="30"/>
    </row>
    <row r="163" spans="1:54" x14ac:dyDescent="0.25">
      <c r="A163" s="33" t="s">
        <v>61</v>
      </c>
      <c r="B163" s="33" t="s">
        <v>62</v>
      </c>
      <c r="C163" s="39">
        <v>45554</v>
      </c>
      <c r="D163" s="33">
        <v>410208</v>
      </c>
      <c r="E163" s="34" t="s">
        <v>63</v>
      </c>
      <c r="F163" s="33" t="s">
        <v>64</v>
      </c>
      <c r="G163" s="33">
        <v>0.61</v>
      </c>
      <c r="H163" s="33">
        <v>2000</v>
      </c>
      <c r="I163" s="33">
        <f t="shared" si="20"/>
        <v>1220</v>
      </c>
      <c r="J163" s="48">
        <f>WasteShipmentData[[#This Row],[Standardized Volume in lbs]]/2.2</f>
        <v>554.5454545454545</v>
      </c>
      <c r="K163" s="48">
        <f t="shared" si="21"/>
        <v>16000</v>
      </c>
      <c r="L163" s="33" t="s">
        <v>65</v>
      </c>
      <c r="M163" s="33" t="s">
        <v>63</v>
      </c>
      <c r="N163" s="33" t="s">
        <v>66</v>
      </c>
      <c r="O163" s="33" t="s">
        <v>63</v>
      </c>
      <c r="P163" s="33" t="s">
        <v>63</v>
      </c>
      <c r="Q163" s="33" t="s">
        <v>63</v>
      </c>
      <c r="R163" s="33" t="s">
        <v>63</v>
      </c>
      <c r="S163" s="33" t="s">
        <v>77</v>
      </c>
      <c r="T163" s="33" t="s">
        <v>78</v>
      </c>
      <c r="U163" s="33" t="s">
        <v>63</v>
      </c>
      <c r="V163" s="33" t="s">
        <v>69</v>
      </c>
      <c r="W163" s="33" t="s">
        <v>70</v>
      </c>
      <c r="X163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163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163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163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163" s="33" t="s">
        <v>71</v>
      </c>
      <c r="AC163" s="33" t="s">
        <v>72</v>
      </c>
      <c r="AD163" s="33">
        <v>12.3</v>
      </c>
      <c r="AE163" s="33" t="s">
        <v>73</v>
      </c>
      <c r="AF163" s="38" t="s">
        <v>74</v>
      </c>
      <c r="AG163" s="38" t="s">
        <v>75</v>
      </c>
      <c r="AH163" s="33">
        <v>37143</v>
      </c>
      <c r="AI163" s="33" t="s">
        <v>63</v>
      </c>
      <c r="AJ163" s="33" t="s">
        <v>71</v>
      </c>
      <c r="AK163" s="37">
        <v>450.98</v>
      </c>
      <c r="AL163" s="37">
        <v>108.58</v>
      </c>
      <c r="AM163" s="37">
        <f t="shared" ref="AM163:AM183" si="22">AL163*G163</f>
        <v>66.233800000000002</v>
      </c>
      <c r="AN163" s="37">
        <v>0</v>
      </c>
      <c r="AO163" s="37">
        <v>0</v>
      </c>
      <c r="AP163" s="37">
        <v>0</v>
      </c>
      <c r="AQ163" s="37">
        <v>0</v>
      </c>
      <c r="AR163" s="37">
        <v>275</v>
      </c>
      <c r="AS163" s="37">
        <v>90</v>
      </c>
      <c r="AT163" s="37">
        <f t="shared" ref="AT163:AT183" si="23">AS163*G163</f>
        <v>54.9</v>
      </c>
      <c r="AU163" s="47">
        <v>0</v>
      </c>
      <c r="AV163" s="47">
        <v>0</v>
      </c>
      <c r="AW163" s="37">
        <v>0</v>
      </c>
      <c r="AX163" s="37">
        <v>0</v>
      </c>
      <c r="AY163" s="30"/>
      <c r="AZ163" s="30"/>
      <c r="BA163" s="30"/>
      <c r="BB163" s="30"/>
    </row>
    <row r="164" spans="1:54" x14ac:dyDescent="0.25">
      <c r="A164" s="33" t="s">
        <v>61</v>
      </c>
      <c r="B164" s="33" t="s">
        <v>62</v>
      </c>
      <c r="C164" s="39">
        <v>45554</v>
      </c>
      <c r="D164" s="33">
        <v>410209</v>
      </c>
      <c r="E164" s="34" t="s">
        <v>63</v>
      </c>
      <c r="F164" s="33" t="s">
        <v>64</v>
      </c>
      <c r="G164" s="33">
        <v>2.34</v>
      </c>
      <c r="H164" s="33">
        <v>2000</v>
      </c>
      <c r="I164" s="33">
        <f t="shared" si="20"/>
        <v>4680</v>
      </c>
      <c r="J164" s="48">
        <f>WasteShipmentData[[#This Row],[Standardized Volume in lbs]]/2.2</f>
        <v>2127.272727272727</v>
      </c>
      <c r="K164" s="48">
        <f t="shared" si="21"/>
        <v>16000</v>
      </c>
      <c r="L164" s="33" t="s">
        <v>65</v>
      </c>
      <c r="M164" s="33" t="s">
        <v>63</v>
      </c>
      <c r="N164" s="33" t="s">
        <v>66</v>
      </c>
      <c r="O164" s="33" t="s">
        <v>63</v>
      </c>
      <c r="P164" s="33" t="s">
        <v>63</v>
      </c>
      <c r="Q164" s="33" t="s">
        <v>63</v>
      </c>
      <c r="R164" s="33" t="s">
        <v>63</v>
      </c>
      <c r="S164" s="33" t="s">
        <v>77</v>
      </c>
      <c r="T164" s="33" t="s">
        <v>78</v>
      </c>
      <c r="U164" s="33" t="s">
        <v>63</v>
      </c>
      <c r="V164" s="33" t="s">
        <v>69</v>
      </c>
      <c r="W164" s="33" t="s">
        <v>70</v>
      </c>
      <c r="X164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164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164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164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164" s="33" t="s">
        <v>71</v>
      </c>
      <c r="AC164" s="33" t="s">
        <v>72</v>
      </c>
      <c r="AD164" s="33">
        <v>12.3</v>
      </c>
      <c r="AE164" s="33" t="s">
        <v>73</v>
      </c>
      <c r="AF164" s="38" t="s">
        <v>74</v>
      </c>
      <c r="AG164" s="38" t="s">
        <v>75</v>
      </c>
      <c r="AH164" s="33">
        <v>37143</v>
      </c>
      <c r="AI164" s="33" t="s">
        <v>63</v>
      </c>
      <c r="AJ164" s="33" t="s">
        <v>71</v>
      </c>
      <c r="AK164" s="37">
        <v>450.98</v>
      </c>
      <c r="AL164" s="37">
        <v>108.58</v>
      </c>
      <c r="AM164" s="37">
        <f t="shared" si="22"/>
        <v>254.07719999999998</v>
      </c>
      <c r="AN164" s="37">
        <v>0</v>
      </c>
      <c r="AO164" s="37">
        <v>0</v>
      </c>
      <c r="AP164" s="37">
        <v>0</v>
      </c>
      <c r="AQ164" s="37">
        <v>0</v>
      </c>
      <c r="AR164" s="37">
        <v>275</v>
      </c>
      <c r="AS164" s="37">
        <v>90</v>
      </c>
      <c r="AT164" s="37">
        <f t="shared" si="23"/>
        <v>210.6</v>
      </c>
      <c r="AU164" s="47">
        <v>0</v>
      </c>
      <c r="AV164" s="47">
        <v>0</v>
      </c>
      <c r="AW164" s="37">
        <v>0</v>
      </c>
      <c r="AX164" s="37">
        <v>0</v>
      </c>
      <c r="AY164" s="30"/>
      <c r="AZ164" s="30"/>
      <c r="BA164" s="30"/>
      <c r="BB164" s="30"/>
    </row>
    <row r="165" spans="1:54" x14ac:dyDescent="0.25">
      <c r="A165" s="33" t="s">
        <v>79</v>
      </c>
      <c r="B165" s="33" t="s">
        <v>80</v>
      </c>
      <c r="C165" s="39">
        <v>45555</v>
      </c>
      <c r="D165" s="33">
        <v>410211</v>
      </c>
      <c r="E165" s="34" t="s">
        <v>63</v>
      </c>
      <c r="F165" s="33" t="s">
        <v>64</v>
      </c>
      <c r="G165" s="33">
        <v>10.07</v>
      </c>
      <c r="H165" s="33">
        <v>2000</v>
      </c>
      <c r="I165" s="33">
        <f t="shared" si="20"/>
        <v>20140</v>
      </c>
      <c r="J165" s="48">
        <f>WasteShipmentData[[#This Row],[Standardized Volume in lbs]]/2.2</f>
        <v>9154.545454545454</v>
      </c>
      <c r="K165" s="48">
        <f t="shared" si="21"/>
        <v>16000</v>
      </c>
      <c r="L165" s="33" t="s">
        <v>65</v>
      </c>
      <c r="M165" s="33" t="s">
        <v>63</v>
      </c>
      <c r="N165" s="33" t="s">
        <v>66</v>
      </c>
      <c r="O165" s="33" t="s">
        <v>63</v>
      </c>
      <c r="P165" s="33" t="s">
        <v>63</v>
      </c>
      <c r="Q165" s="33" t="s">
        <v>63</v>
      </c>
      <c r="R165" s="33" t="s">
        <v>63</v>
      </c>
      <c r="S165" s="33" t="s">
        <v>67</v>
      </c>
      <c r="T165" s="33" t="s">
        <v>68</v>
      </c>
      <c r="U165" s="33" t="s">
        <v>63</v>
      </c>
      <c r="V165" s="33" t="s">
        <v>69</v>
      </c>
      <c r="W165" s="33" t="s">
        <v>70</v>
      </c>
      <c r="X165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165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165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165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165" s="33" t="s">
        <v>71</v>
      </c>
      <c r="AC165" s="33" t="s">
        <v>72</v>
      </c>
      <c r="AD165" s="33">
        <v>12.3</v>
      </c>
      <c r="AE165" s="33" t="s">
        <v>73</v>
      </c>
      <c r="AF165" s="38" t="s">
        <v>74</v>
      </c>
      <c r="AG165" s="38" t="s">
        <v>75</v>
      </c>
      <c r="AH165" s="33">
        <v>37143</v>
      </c>
      <c r="AI165" s="33" t="s">
        <v>63</v>
      </c>
      <c r="AJ165" s="33" t="s">
        <v>71</v>
      </c>
      <c r="AK165" s="37">
        <v>717.46</v>
      </c>
      <c r="AL165" s="37">
        <v>80.709999999999994</v>
      </c>
      <c r="AM165" s="37">
        <f t="shared" si="22"/>
        <v>812.74969999999996</v>
      </c>
      <c r="AN165" s="37">
        <v>0</v>
      </c>
      <c r="AO165" s="37">
        <v>0</v>
      </c>
      <c r="AP165" s="37">
        <v>0</v>
      </c>
      <c r="AQ165" s="37">
        <v>122.97</v>
      </c>
      <c r="AR165" s="37">
        <v>400</v>
      </c>
      <c r="AS165" s="37">
        <v>45</v>
      </c>
      <c r="AT165" s="37">
        <f t="shared" si="23"/>
        <v>453.15000000000003</v>
      </c>
      <c r="AU165" s="47">
        <v>0</v>
      </c>
      <c r="AV165" s="47">
        <v>0</v>
      </c>
      <c r="AW165" s="37">
        <v>0</v>
      </c>
      <c r="AX165" s="37">
        <v>75</v>
      </c>
      <c r="AY165" s="30"/>
      <c r="AZ165" s="30"/>
      <c r="BA165" s="30"/>
      <c r="BB165" s="30"/>
    </row>
    <row r="166" spans="1:54" x14ac:dyDescent="0.25">
      <c r="A166" s="33" t="s">
        <v>79</v>
      </c>
      <c r="B166" s="33" t="s">
        <v>80</v>
      </c>
      <c r="C166" s="39">
        <v>45558</v>
      </c>
      <c r="D166" s="33">
        <v>410215</v>
      </c>
      <c r="E166" s="34" t="s">
        <v>63</v>
      </c>
      <c r="F166" s="33" t="s">
        <v>64</v>
      </c>
      <c r="G166" s="33">
        <v>7.66</v>
      </c>
      <c r="H166" s="33">
        <v>2000</v>
      </c>
      <c r="I166" s="33">
        <f t="shared" si="20"/>
        <v>15320</v>
      </c>
      <c r="J166" s="48">
        <f>WasteShipmentData[[#This Row],[Standardized Volume in lbs]]/2.2</f>
        <v>6963.6363636363631</v>
      </c>
      <c r="K166" s="48">
        <f t="shared" si="21"/>
        <v>16000</v>
      </c>
      <c r="L166" s="33" t="s">
        <v>65</v>
      </c>
      <c r="M166" s="33" t="s">
        <v>63</v>
      </c>
      <c r="N166" s="33" t="s">
        <v>66</v>
      </c>
      <c r="O166" s="33" t="s">
        <v>63</v>
      </c>
      <c r="P166" s="33" t="s">
        <v>63</v>
      </c>
      <c r="Q166" s="33" t="s">
        <v>63</v>
      </c>
      <c r="R166" s="33" t="s">
        <v>63</v>
      </c>
      <c r="S166" s="33" t="s">
        <v>67</v>
      </c>
      <c r="T166" s="33" t="s">
        <v>68</v>
      </c>
      <c r="U166" s="33" t="s">
        <v>63</v>
      </c>
      <c r="V166" s="33" t="s">
        <v>69</v>
      </c>
      <c r="W166" s="33" t="s">
        <v>70</v>
      </c>
      <c r="X166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166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166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166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166" s="33" t="s">
        <v>71</v>
      </c>
      <c r="AC166" s="33" t="s">
        <v>72</v>
      </c>
      <c r="AD166" s="33">
        <v>12.3</v>
      </c>
      <c r="AE166" s="33" t="s">
        <v>73</v>
      </c>
      <c r="AF166" s="38" t="s">
        <v>74</v>
      </c>
      <c r="AG166" s="38" t="s">
        <v>75</v>
      </c>
      <c r="AH166" s="33">
        <v>37143</v>
      </c>
      <c r="AI166" s="33" t="s">
        <v>63</v>
      </c>
      <c r="AJ166" s="33" t="s">
        <v>71</v>
      </c>
      <c r="AK166" s="37">
        <v>717.46</v>
      </c>
      <c r="AL166" s="47">
        <v>80.709999999999994</v>
      </c>
      <c r="AM166" s="37">
        <f t="shared" si="22"/>
        <v>618.23860000000002</v>
      </c>
      <c r="AN166" s="37">
        <v>0</v>
      </c>
      <c r="AO166" s="37">
        <v>0</v>
      </c>
      <c r="AP166" s="37">
        <v>0</v>
      </c>
      <c r="AQ166" s="37">
        <v>122.97</v>
      </c>
      <c r="AR166" s="37">
        <v>400</v>
      </c>
      <c r="AS166" s="37">
        <v>45</v>
      </c>
      <c r="AT166" s="37">
        <f t="shared" si="23"/>
        <v>344.7</v>
      </c>
      <c r="AU166" s="47">
        <v>0</v>
      </c>
      <c r="AV166" s="47">
        <v>0</v>
      </c>
      <c r="AW166" s="37">
        <v>0</v>
      </c>
      <c r="AX166" s="37">
        <v>75</v>
      </c>
      <c r="AY166" s="30"/>
      <c r="AZ166" s="30"/>
      <c r="BA166" s="30"/>
      <c r="BB166" s="30"/>
    </row>
    <row r="167" spans="1:54" x14ac:dyDescent="0.25">
      <c r="A167" s="45" t="s">
        <v>61</v>
      </c>
      <c r="B167" s="33" t="s">
        <v>76</v>
      </c>
      <c r="C167" s="55">
        <v>45558</v>
      </c>
      <c r="D167" s="33">
        <v>410212</v>
      </c>
      <c r="E167" s="34" t="s">
        <v>63</v>
      </c>
      <c r="F167" s="45" t="s">
        <v>64</v>
      </c>
      <c r="G167" s="45">
        <v>0.96</v>
      </c>
      <c r="H167" s="45">
        <v>2000</v>
      </c>
      <c r="I167" s="45">
        <f t="shared" si="20"/>
        <v>1920</v>
      </c>
      <c r="J167" s="49">
        <f>WasteShipmentData[[#This Row],[Standardized Volume in lbs]]/2.2</f>
        <v>872.72727272727263</v>
      </c>
      <c r="K167" s="49">
        <v>2500</v>
      </c>
      <c r="L167" s="45" t="s">
        <v>65</v>
      </c>
      <c r="M167" s="33" t="s">
        <v>63</v>
      </c>
      <c r="N167" s="45" t="s">
        <v>66</v>
      </c>
      <c r="O167" s="33" t="s">
        <v>63</v>
      </c>
      <c r="P167" s="33" t="s">
        <v>63</v>
      </c>
      <c r="Q167" s="33" t="s">
        <v>63</v>
      </c>
      <c r="R167" s="33" t="s">
        <v>63</v>
      </c>
      <c r="S167" s="45" t="s">
        <v>67</v>
      </c>
      <c r="T167" s="33" t="s">
        <v>68</v>
      </c>
      <c r="U167" s="33" t="s">
        <v>63</v>
      </c>
      <c r="V167" s="33" t="s">
        <v>69</v>
      </c>
      <c r="W167" s="33" t="s">
        <v>70</v>
      </c>
      <c r="X167" s="45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167" s="45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167" s="45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167" s="45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167" s="33" t="s">
        <v>71</v>
      </c>
      <c r="AC167" s="33" t="s">
        <v>72</v>
      </c>
      <c r="AD167" s="33">
        <v>12.3</v>
      </c>
      <c r="AE167" s="33" t="s">
        <v>73</v>
      </c>
      <c r="AF167" s="38" t="s">
        <v>74</v>
      </c>
      <c r="AG167" s="38" t="s">
        <v>75</v>
      </c>
      <c r="AH167" s="33">
        <v>37143</v>
      </c>
      <c r="AI167" s="33" t="s">
        <v>63</v>
      </c>
      <c r="AJ167" s="33" t="s">
        <v>71</v>
      </c>
      <c r="AK167" s="37">
        <v>450.98</v>
      </c>
      <c r="AL167" s="37">
        <v>108.58</v>
      </c>
      <c r="AM167" s="47">
        <f t="shared" si="22"/>
        <v>104.23679999999999</v>
      </c>
      <c r="AN167" s="37">
        <v>0</v>
      </c>
      <c r="AO167" s="37">
        <v>0</v>
      </c>
      <c r="AP167" s="37">
        <v>0</v>
      </c>
      <c r="AQ167" s="37">
        <v>0</v>
      </c>
      <c r="AR167" s="37">
        <v>275</v>
      </c>
      <c r="AS167" s="47">
        <v>90</v>
      </c>
      <c r="AT167" s="37">
        <f t="shared" si="23"/>
        <v>86.399999999999991</v>
      </c>
      <c r="AU167" s="47">
        <v>0</v>
      </c>
      <c r="AV167" s="47">
        <v>0</v>
      </c>
      <c r="AW167" s="37">
        <v>0</v>
      </c>
      <c r="AX167" s="37">
        <v>0</v>
      </c>
      <c r="AY167" s="31"/>
      <c r="AZ167" s="31"/>
      <c r="BA167" s="31"/>
      <c r="BB167" s="31"/>
    </row>
    <row r="168" spans="1:54" x14ac:dyDescent="0.25">
      <c r="A168" s="33" t="s">
        <v>61</v>
      </c>
      <c r="B168" s="33" t="s">
        <v>76</v>
      </c>
      <c r="C168" s="39">
        <v>45558</v>
      </c>
      <c r="D168" s="33">
        <v>410213</v>
      </c>
      <c r="E168" s="34" t="s">
        <v>63</v>
      </c>
      <c r="F168" s="45" t="s">
        <v>64</v>
      </c>
      <c r="G168" s="33">
        <v>2.7</v>
      </c>
      <c r="H168" s="45">
        <v>2000</v>
      </c>
      <c r="I168" s="45">
        <f t="shared" si="20"/>
        <v>5400</v>
      </c>
      <c r="J168" s="48">
        <f>WasteShipmentData[[#This Row],[Standardized Volume in lbs]]/2.2</f>
        <v>2454.5454545454545</v>
      </c>
      <c r="K168" s="49">
        <f>8*2000</f>
        <v>16000</v>
      </c>
      <c r="L168" s="45" t="s">
        <v>65</v>
      </c>
      <c r="M168" s="33" t="s">
        <v>63</v>
      </c>
      <c r="N168" s="33" t="s">
        <v>66</v>
      </c>
      <c r="O168" s="33" t="s">
        <v>63</v>
      </c>
      <c r="P168" s="33" t="s">
        <v>63</v>
      </c>
      <c r="Q168" s="33" t="s">
        <v>63</v>
      </c>
      <c r="R168" s="33" t="s">
        <v>63</v>
      </c>
      <c r="S168" s="45" t="s">
        <v>77</v>
      </c>
      <c r="T168" s="33" t="s">
        <v>78</v>
      </c>
      <c r="U168" s="33" t="s">
        <v>63</v>
      </c>
      <c r="V168" s="33" t="s">
        <v>69</v>
      </c>
      <c r="W168" s="33" t="s">
        <v>70</v>
      </c>
      <c r="X168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168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168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168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168" s="33" t="s">
        <v>71</v>
      </c>
      <c r="AC168" s="33" t="s">
        <v>72</v>
      </c>
      <c r="AD168" s="33">
        <v>12.3</v>
      </c>
      <c r="AE168" s="33" t="s">
        <v>73</v>
      </c>
      <c r="AF168" s="38" t="s">
        <v>74</v>
      </c>
      <c r="AG168" s="38" t="s">
        <v>75</v>
      </c>
      <c r="AH168" s="33">
        <v>37143</v>
      </c>
      <c r="AI168" s="33" t="s">
        <v>63</v>
      </c>
      <c r="AJ168" s="33" t="s">
        <v>71</v>
      </c>
      <c r="AK168" s="37">
        <v>450.98</v>
      </c>
      <c r="AL168" s="37">
        <v>108.58</v>
      </c>
      <c r="AM168" s="37">
        <f t="shared" si="22"/>
        <v>293.166</v>
      </c>
      <c r="AN168" s="37">
        <v>0</v>
      </c>
      <c r="AO168" s="37">
        <v>0</v>
      </c>
      <c r="AP168" s="37">
        <v>0</v>
      </c>
      <c r="AQ168" s="37">
        <v>0</v>
      </c>
      <c r="AR168" s="37">
        <v>275</v>
      </c>
      <c r="AS168" s="37">
        <v>90</v>
      </c>
      <c r="AT168" s="37">
        <f t="shared" si="23"/>
        <v>243.00000000000003</v>
      </c>
      <c r="AU168" s="47">
        <v>0</v>
      </c>
      <c r="AV168" s="47">
        <v>0</v>
      </c>
      <c r="AW168" s="37">
        <v>0</v>
      </c>
      <c r="AX168" s="37">
        <v>0</v>
      </c>
      <c r="AY168" s="30"/>
      <c r="AZ168" s="30"/>
      <c r="BA168" s="30"/>
      <c r="BB168" s="30"/>
    </row>
    <row r="169" spans="1:54" x14ac:dyDescent="0.25">
      <c r="A169" s="33" t="s">
        <v>61</v>
      </c>
      <c r="B169" s="33" t="s">
        <v>76</v>
      </c>
      <c r="C169" s="39">
        <v>45558</v>
      </c>
      <c r="D169" s="33">
        <v>410214</v>
      </c>
      <c r="E169" s="34" t="s">
        <v>63</v>
      </c>
      <c r="F169" s="45" t="s">
        <v>64</v>
      </c>
      <c r="G169" s="33">
        <v>1.63</v>
      </c>
      <c r="H169" s="33">
        <v>2000</v>
      </c>
      <c r="I169" s="45">
        <f t="shared" si="20"/>
        <v>3260</v>
      </c>
      <c r="J169" s="48">
        <f>WasteShipmentData[[#This Row],[Standardized Volume in lbs]]/2.2</f>
        <v>1481.8181818181818</v>
      </c>
      <c r="K169" s="49">
        <f>8*2000</f>
        <v>16000</v>
      </c>
      <c r="L169" s="45" t="s">
        <v>65</v>
      </c>
      <c r="M169" s="33" t="s">
        <v>63</v>
      </c>
      <c r="N169" s="33" t="s">
        <v>66</v>
      </c>
      <c r="O169" s="33" t="s">
        <v>63</v>
      </c>
      <c r="P169" s="33" t="s">
        <v>63</v>
      </c>
      <c r="Q169" s="33" t="s">
        <v>63</v>
      </c>
      <c r="R169" s="33" t="s">
        <v>63</v>
      </c>
      <c r="S169" s="45" t="s">
        <v>77</v>
      </c>
      <c r="T169" s="33" t="s">
        <v>78</v>
      </c>
      <c r="U169" s="33" t="s">
        <v>63</v>
      </c>
      <c r="V169" s="33" t="s">
        <v>69</v>
      </c>
      <c r="W169" s="33" t="s">
        <v>70</v>
      </c>
      <c r="X169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169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169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169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169" s="33" t="s">
        <v>71</v>
      </c>
      <c r="AC169" s="33" t="s">
        <v>72</v>
      </c>
      <c r="AD169" s="33">
        <v>12.3</v>
      </c>
      <c r="AE169" s="33" t="s">
        <v>73</v>
      </c>
      <c r="AF169" s="38" t="s">
        <v>74</v>
      </c>
      <c r="AG169" s="38" t="s">
        <v>75</v>
      </c>
      <c r="AH169" s="33">
        <v>37143</v>
      </c>
      <c r="AI169" s="33" t="s">
        <v>63</v>
      </c>
      <c r="AJ169" s="33" t="s">
        <v>71</v>
      </c>
      <c r="AK169" s="37">
        <v>450.98</v>
      </c>
      <c r="AL169" s="37">
        <v>108.58</v>
      </c>
      <c r="AM169" s="37">
        <f t="shared" si="22"/>
        <v>176.9854</v>
      </c>
      <c r="AN169" s="37">
        <v>0</v>
      </c>
      <c r="AO169" s="37">
        <v>0</v>
      </c>
      <c r="AP169" s="37">
        <v>0</v>
      </c>
      <c r="AQ169" s="37">
        <v>0</v>
      </c>
      <c r="AR169" s="37">
        <v>275</v>
      </c>
      <c r="AS169" s="37">
        <v>90</v>
      </c>
      <c r="AT169" s="37">
        <f t="shared" si="23"/>
        <v>146.69999999999999</v>
      </c>
      <c r="AU169" s="47">
        <v>0</v>
      </c>
      <c r="AV169" s="47">
        <v>0</v>
      </c>
      <c r="AW169" s="37">
        <v>0</v>
      </c>
      <c r="AX169" s="37">
        <v>0</v>
      </c>
      <c r="AY169" s="30"/>
      <c r="AZ169" s="30"/>
      <c r="BA169" s="30"/>
      <c r="BB169" s="30"/>
    </row>
    <row r="170" spans="1:54" x14ac:dyDescent="0.25">
      <c r="A170" s="45" t="s">
        <v>79</v>
      </c>
      <c r="B170" s="33" t="s">
        <v>80</v>
      </c>
      <c r="C170" s="55">
        <v>45559</v>
      </c>
      <c r="D170" s="33">
        <v>410217</v>
      </c>
      <c r="E170" s="34" t="s">
        <v>63</v>
      </c>
      <c r="F170" s="45" t="s">
        <v>64</v>
      </c>
      <c r="G170" s="45">
        <v>13.18</v>
      </c>
      <c r="H170" s="45">
        <v>2000</v>
      </c>
      <c r="I170" s="45">
        <f t="shared" si="20"/>
        <v>26360</v>
      </c>
      <c r="J170" s="49">
        <f>WasteShipmentData[[#This Row],[Standardized Volume in lbs]]/2.2</f>
        <v>11981.81818181818</v>
      </c>
      <c r="K170" s="49">
        <f>8*2000</f>
        <v>16000</v>
      </c>
      <c r="L170" s="33" t="s">
        <v>65</v>
      </c>
      <c r="M170" s="33" t="s">
        <v>63</v>
      </c>
      <c r="N170" s="45" t="s">
        <v>66</v>
      </c>
      <c r="O170" s="33" t="s">
        <v>63</v>
      </c>
      <c r="P170" s="33" t="s">
        <v>63</v>
      </c>
      <c r="Q170" s="33" t="s">
        <v>63</v>
      </c>
      <c r="R170" s="33" t="s">
        <v>63</v>
      </c>
      <c r="S170" s="45" t="s">
        <v>67</v>
      </c>
      <c r="T170" s="33" t="s">
        <v>68</v>
      </c>
      <c r="U170" s="33" t="s">
        <v>63</v>
      </c>
      <c r="V170" s="33" t="s">
        <v>69</v>
      </c>
      <c r="W170" s="33" t="s">
        <v>70</v>
      </c>
      <c r="X170" s="45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170" s="45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170" s="45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170" s="45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170" s="33" t="s">
        <v>71</v>
      </c>
      <c r="AC170" s="33" t="s">
        <v>72</v>
      </c>
      <c r="AD170" s="33">
        <v>12.3</v>
      </c>
      <c r="AE170" s="33" t="s">
        <v>73</v>
      </c>
      <c r="AF170" s="38" t="s">
        <v>74</v>
      </c>
      <c r="AG170" s="38" t="s">
        <v>75</v>
      </c>
      <c r="AH170" s="33">
        <v>37143</v>
      </c>
      <c r="AI170" s="33" t="s">
        <v>63</v>
      </c>
      <c r="AJ170" s="33" t="s">
        <v>71</v>
      </c>
      <c r="AK170" s="37">
        <v>717.46</v>
      </c>
      <c r="AL170" s="37">
        <v>80.709999999999994</v>
      </c>
      <c r="AM170" s="47">
        <f t="shared" si="22"/>
        <v>1063.7577999999999</v>
      </c>
      <c r="AN170" s="37">
        <v>0</v>
      </c>
      <c r="AO170" s="37">
        <v>0</v>
      </c>
      <c r="AP170" s="37">
        <v>0</v>
      </c>
      <c r="AQ170" s="37">
        <v>122.97</v>
      </c>
      <c r="AR170" s="37">
        <v>400</v>
      </c>
      <c r="AS170" s="47">
        <v>45</v>
      </c>
      <c r="AT170" s="37">
        <f t="shared" si="23"/>
        <v>593.1</v>
      </c>
      <c r="AU170" s="47">
        <v>0</v>
      </c>
      <c r="AV170" s="47">
        <v>0</v>
      </c>
      <c r="AW170" s="37">
        <v>0</v>
      </c>
      <c r="AX170" s="37">
        <v>75</v>
      </c>
      <c r="AY170" s="31"/>
      <c r="AZ170" s="31"/>
      <c r="BA170" s="31"/>
      <c r="BB170" s="31"/>
    </row>
    <row r="171" spans="1:54" x14ac:dyDescent="0.25">
      <c r="A171" s="45" t="s">
        <v>81</v>
      </c>
      <c r="B171" s="33" t="s">
        <v>80</v>
      </c>
      <c r="C171" s="55">
        <v>45559</v>
      </c>
      <c r="D171" s="33">
        <v>410216</v>
      </c>
      <c r="E171" s="34" t="s">
        <v>63</v>
      </c>
      <c r="F171" s="45" t="s">
        <v>64</v>
      </c>
      <c r="G171" s="45">
        <v>3.23</v>
      </c>
      <c r="H171" s="45">
        <v>2000</v>
      </c>
      <c r="I171" s="45">
        <f t="shared" si="20"/>
        <v>6460</v>
      </c>
      <c r="J171" s="49">
        <f>WasteShipmentData[[#This Row],[Standardized Volume in lbs]]/2.2</f>
        <v>2936.363636363636</v>
      </c>
      <c r="K171" s="49">
        <v>2000</v>
      </c>
      <c r="L171" s="45" t="s">
        <v>65</v>
      </c>
      <c r="M171" s="33" t="s">
        <v>63</v>
      </c>
      <c r="N171" s="45" t="s">
        <v>66</v>
      </c>
      <c r="O171" s="33" t="s">
        <v>63</v>
      </c>
      <c r="P171" s="33" t="s">
        <v>63</v>
      </c>
      <c r="Q171" s="33" t="s">
        <v>63</v>
      </c>
      <c r="R171" s="33" t="s">
        <v>63</v>
      </c>
      <c r="S171" s="45" t="s">
        <v>67</v>
      </c>
      <c r="T171" s="33" t="s">
        <v>68</v>
      </c>
      <c r="U171" s="33" t="s">
        <v>63</v>
      </c>
      <c r="V171" s="33" t="s">
        <v>69</v>
      </c>
      <c r="W171" s="33" t="s">
        <v>70</v>
      </c>
      <c r="X171" s="45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171" s="45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171" s="45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171" s="45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171" s="33" t="s">
        <v>71</v>
      </c>
      <c r="AC171" s="33" t="s">
        <v>72</v>
      </c>
      <c r="AD171" s="33">
        <v>12.3</v>
      </c>
      <c r="AE171" s="33" t="s">
        <v>73</v>
      </c>
      <c r="AF171" s="38" t="s">
        <v>74</v>
      </c>
      <c r="AG171" s="38" t="s">
        <v>75</v>
      </c>
      <c r="AH171" s="33">
        <v>37143</v>
      </c>
      <c r="AI171" s="33" t="s">
        <v>63</v>
      </c>
      <c r="AJ171" s="45" t="s">
        <v>71</v>
      </c>
      <c r="AK171" s="37">
        <v>717.46</v>
      </c>
      <c r="AL171" s="47">
        <v>80.709999999999994</v>
      </c>
      <c r="AM171" s="47">
        <f t="shared" si="22"/>
        <v>260.69329999999997</v>
      </c>
      <c r="AN171" s="37">
        <v>0</v>
      </c>
      <c r="AO171" s="37">
        <v>0</v>
      </c>
      <c r="AP171" s="37">
        <v>0</v>
      </c>
      <c r="AQ171" s="37">
        <v>122.97</v>
      </c>
      <c r="AR171" s="37">
        <v>400</v>
      </c>
      <c r="AS171" s="47">
        <v>45</v>
      </c>
      <c r="AT171" s="37">
        <f t="shared" si="23"/>
        <v>145.35</v>
      </c>
      <c r="AU171" s="47">
        <v>0</v>
      </c>
      <c r="AV171" s="47">
        <v>0</v>
      </c>
      <c r="AW171" s="37">
        <v>0</v>
      </c>
      <c r="AX171" s="37">
        <v>75</v>
      </c>
      <c r="AY171" s="31"/>
      <c r="AZ171" s="31"/>
      <c r="BA171" s="31"/>
      <c r="BB171" s="31"/>
    </row>
    <row r="172" spans="1:54" x14ac:dyDescent="0.25">
      <c r="A172" s="33" t="s">
        <v>61</v>
      </c>
      <c r="B172" s="33" t="s">
        <v>62</v>
      </c>
      <c r="C172" s="55">
        <v>45560</v>
      </c>
      <c r="D172" s="33">
        <v>410218</v>
      </c>
      <c r="E172" s="34" t="s">
        <v>63</v>
      </c>
      <c r="F172" s="45" t="s">
        <v>64</v>
      </c>
      <c r="G172" s="45">
        <v>2.34</v>
      </c>
      <c r="H172" s="45">
        <v>2000</v>
      </c>
      <c r="I172" s="45">
        <f t="shared" si="20"/>
        <v>4680</v>
      </c>
      <c r="J172" s="49">
        <f>WasteShipmentData[[#This Row],[Standardized Volume in lbs]]/2.2</f>
        <v>2127.272727272727</v>
      </c>
      <c r="K172" s="49">
        <v>2500</v>
      </c>
      <c r="L172" s="45" t="s">
        <v>65</v>
      </c>
      <c r="M172" s="33" t="s">
        <v>63</v>
      </c>
      <c r="N172" s="33" t="s">
        <v>66</v>
      </c>
      <c r="O172" s="33" t="s">
        <v>63</v>
      </c>
      <c r="P172" s="33" t="s">
        <v>63</v>
      </c>
      <c r="Q172" s="33" t="s">
        <v>63</v>
      </c>
      <c r="R172" s="33" t="s">
        <v>63</v>
      </c>
      <c r="S172" s="45" t="s">
        <v>67</v>
      </c>
      <c r="T172" s="33" t="s">
        <v>68</v>
      </c>
      <c r="U172" s="33" t="s">
        <v>63</v>
      </c>
      <c r="V172" s="33" t="s">
        <v>69</v>
      </c>
      <c r="W172" s="33" t="s">
        <v>70</v>
      </c>
      <c r="X172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172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172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172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172" s="33" t="s">
        <v>71</v>
      </c>
      <c r="AC172" s="33" t="s">
        <v>72</v>
      </c>
      <c r="AD172" s="33">
        <v>12.3</v>
      </c>
      <c r="AE172" s="33" t="s">
        <v>73</v>
      </c>
      <c r="AF172" s="38" t="s">
        <v>74</v>
      </c>
      <c r="AG172" s="38" t="s">
        <v>75</v>
      </c>
      <c r="AH172" s="33">
        <v>37143</v>
      </c>
      <c r="AI172" s="33" t="s">
        <v>63</v>
      </c>
      <c r="AJ172" s="45" t="s">
        <v>71</v>
      </c>
      <c r="AK172" s="37">
        <v>450.98</v>
      </c>
      <c r="AL172" s="47">
        <v>108.58</v>
      </c>
      <c r="AM172" s="47">
        <f t="shared" si="22"/>
        <v>254.07719999999998</v>
      </c>
      <c r="AN172" s="37">
        <v>0</v>
      </c>
      <c r="AO172" s="37">
        <v>0</v>
      </c>
      <c r="AP172" s="37">
        <v>0</v>
      </c>
      <c r="AQ172" s="37">
        <v>0</v>
      </c>
      <c r="AR172" s="37">
        <v>275</v>
      </c>
      <c r="AS172" s="47">
        <v>90</v>
      </c>
      <c r="AT172" s="37">
        <f t="shared" si="23"/>
        <v>210.6</v>
      </c>
      <c r="AU172" s="47">
        <v>0</v>
      </c>
      <c r="AV172" s="47">
        <v>0</v>
      </c>
      <c r="AW172" s="37">
        <v>0</v>
      </c>
      <c r="AX172" s="37">
        <v>0</v>
      </c>
      <c r="AY172" s="31"/>
      <c r="AZ172" s="31"/>
      <c r="BA172" s="31"/>
      <c r="BB172" s="31"/>
    </row>
    <row r="173" spans="1:54" x14ac:dyDescent="0.25">
      <c r="A173" s="33" t="s">
        <v>61</v>
      </c>
      <c r="B173" s="33" t="s">
        <v>62</v>
      </c>
      <c r="C173" s="55">
        <v>45560</v>
      </c>
      <c r="D173" s="33">
        <v>410219</v>
      </c>
      <c r="E173" s="34" t="s">
        <v>63</v>
      </c>
      <c r="F173" s="45" t="s">
        <v>64</v>
      </c>
      <c r="G173" s="45">
        <v>1.58</v>
      </c>
      <c r="H173" s="33">
        <v>2000</v>
      </c>
      <c r="I173" s="45">
        <f t="shared" si="20"/>
        <v>3160</v>
      </c>
      <c r="J173" s="49">
        <f>WasteShipmentData[[#This Row],[Standardized Volume in lbs]]/2.2</f>
        <v>1436.3636363636363</v>
      </c>
      <c r="K173" s="49">
        <v>2500</v>
      </c>
      <c r="L173" s="45" t="s">
        <v>65</v>
      </c>
      <c r="M173" s="33" t="s">
        <v>63</v>
      </c>
      <c r="N173" s="33" t="s">
        <v>66</v>
      </c>
      <c r="O173" s="33" t="s">
        <v>63</v>
      </c>
      <c r="P173" s="33" t="s">
        <v>63</v>
      </c>
      <c r="Q173" s="33" t="s">
        <v>63</v>
      </c>
      <c r="R173" s="33" t="s">
        <v>63</v>
      </c>
      <c r="S173" s="45" t="s">
        <v>67</v>
      </c>
      <c r="T173" s="33" t="s">
        <v>68</v>
      </c>
      <c r="U173" s="33" t="s">
        <v>63</v>
      </c>
      <c r="V173" s="33" t="s">
        <v>69</v>
      </c>
      <c r="W173" s="33" t="s">
        <v>70</v>
      </c>
      <c r="X173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173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173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173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173" s="33" t="s">
        <v>71</v>
      </c>
      <c r="AC173" s="33" t="s">
        <v>72</v>
      </c>
      <c r="AD173" s="33">
        <v>12.3</v>
      </c>
      <c r="AE173" s="33" t="s">
        <v>73</v>
      </c>
      <c r="AF173" s="38" t="s">
        <v>74</v>
      </c>
      <c r="AG173" s="38" t="s">
        <v>75</v>
      </c>
      <c r="AH173" s="33">
        <v>37143</v>
      </c>
      <c r="AI173" s="33" t="s">
        <v>63</v>
      </c>
      <c r="AJ173" s="45" t="s">
        <v>71</v>
      </c>
      <c r="AK173" s="37">
        <v>450.98</v>
      </c>
      <c r="AL173" s="37">
        <v>108.58</v>
      </c>
      <c r="AM173" s="47">
        <f t="shared" si="22"/>
        <v>171.5564</v>
      </c>
      <c r="AN173" s="37">
        <v>0</v>
      </c>
      <c r="AO173" s="37">
        <v>0</v>
      </c>
      <c r="AP173" s="37">
        <v>0</v>
      </c>
      <c r="AQ173" s="37">
        <v>0</v>
      </c>
      <c r="AR173" s="37">
        <v>275</v>
      </c>
      <c r="AS173" s="47">
        <v>90</v>
      </c>
      <c r="AT173" s="37">
        <f t="shared" si="23"/>
        <v>142.20000000000002</v>
      </c>
      <c r="AU173" s="47">
        <v>0</v>
      </c>
      <c r="AV173" s="47">
        <v>0</v>
      </c>
      <c r="AW173" s="37">
        <v>0</v>
      </c>
      <c r="AX173" s="37">
        <v>0</v>
      </c>
      <c r="AY173" s="31"/>
      <c r="AZ173" s="31"/>
      <c r="BA173" s="31"/>
      <c r="BB173" s="31"/>
    </row>
    <row r="174" spans="1:54" x14ac:dyDescent="0.25">
      <c r="A174" s="45" t="s">
        <v>79</v>
      </c>
      <c r="B174" s="33" t="s">
        <v>80</v>
      </c>
      <c r="C174" s="55">
        <v>45561</v>
      </c>
      <c r="D174" s="33">
        <v>410222</v>
      </c>
      <c r="E174" s="34" t="s">
        <v>63</v>
      </c>
      <c r="F174" s="45" t="s">
        <v>64</v>
      </c>
      <c r="G174" s="45">
        <v>6.41</v>
      </c>
      <c r="H174" s="45">
        <v>2000</v>
      </c>
      <c r="I174" s="45">
        <f t="shared" si="20"/>
        <v>12820</v>
      </c>
      <c r="J174" s="49">
        <f>WasteShipmentData[[#This Row],[Standardized Volume in lbs]]/2.2</f>
        <v>5827.272727272727</v>
      </c>
      <c r="K174" s="49">
        <f>8*2000</f>
        <v>16000</v>
      </c>
      <c r="L174" s="33" t="s">
        <v>65</v>
      </c>
      <c r="M174" s="33" t="s">
        <v>63</v>
      </c>
      <c r="N174" s="45" t="s">
        <v>66</v>
      </c>
      <c r="O174" s="33" t="s">
        <v>63</v>
      </c>
      <c r="P174" s="33" t="s">
        <v>63</v>
      </c>
      <c r="Q174" s="33" t="s">
        <v>63</v>
      </c>
      <c r="R174" s="33" t="s">
        <v>63</v>
      </c>
      <c r="S174" s="45" t="s">
        <v>67</v>
      </c>
      <c r="T174" s="33" t="s">
        <v>68</v>
      </c>
      <c r="U174" s="33" t="s">
        <v>63</v>
      </c>
      <c r="V174" s="33" t="s">
        <v>69</v>
      </c>
      <c r="W174" s="33" t="s">
        <v>70</v>
      </c>
      <c r="X174" s="45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174" s="45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174" s="45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174" s="45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174" s="33" t="s">
        <v>71</v>
      </c>
      <c r="AC174" s="33" t="s">
        <v>72</v>
      </c>
      <c r="AD174" s="33">
        <v>12.3</v>
      </c>
      <c r="AE174" s="33" t="s">
        <v>73</v>
      </c>
      <c r="AF174" s="38" t="s">
        <v>74</v>
      </c>
      <c r="AG174" s="38" t="s">
        <v>75</v>
      </c>
      <c r="AH174" s="33">
        <v>37143</v>
      </c>
      <c r="AI174" s="33" t="s">
        <v>63</v>
      </c>
      <c r="AJ174" s="45" t="s">
        <v>71</v>
      </c>
      <c r="AK174" s="37">
        <v>717.46</v>
      </c>
      <c r="AL174" s="37">
        <v>80.709999999999994</v>
      </c>
      <c r="AM174" s="47">
        <f t="shared" si="22"/>
        <v>517.35109999999997</v>
      </c>
      <c r="AN174" s="37">
        <v>0</v>
      </c>
      <c r="AO174" s="37">
        <v>0</v>
      </c>
      <c r="AP174" s="37">
        <v>0</v>
      </c>
      <c r="AQ174" s="37">
        <v>122.97</v>
      </c>
      <c r="AR174" s="37">
        <v>400</v>
      </c>
      <c r="AS174" s="47">
        <v>45</v>
      </c>
      <c r="AT174" s="37">
        <f t="shared" si="23"/>
        <v>288.45</v>
      </c>
      <c r="AU174" s="47">
        <v>0</v>
      </c>
      <c r="AV174" s="47">
        <v>0</v>
      </c>
      <c r="AW174" s="37">
        <v>0</v>
      </c>
      <c r="AX174" s="37">
        <v>75</v>
      </c>
      <c r="AY174" s="31"/>
      <c r="AZ174" s="31"/>
      <c r="BA174" s="31"/>
      <c r="BB174" s="31"/>
    </row>
    <row r="175" spans="1:54" x14ac:dyDescent="0.25">
      <c r="A175" s="45" t="s">
        <v>61</v>
      </c>
      <c r="B175" s="33" t="s">
        <v>76</v>
      </c>
      <c r="C175" s="55">
        <v>45561</v>
      </c>
      <c r="D175" s="33">
        <v>410221</v>
      </c>
      <c r="E175" s="34" t="s">
        <v>63</v>
      </c>
      <c r="F175" s="45" t="s">
        <v>64</v>
      </c>
      <c r="G175" s="45">
        <v>1.63</v>
      </c>
      <c r="H175" s="45">
        <v>2000</v>
      </c>
      <c r="I175" s="45">
        <f t="shared" si="20"/>
        <v>3260</v>
      </c>
      <c r="J175" s="49">
        <f>WasteShipmentData[[#This Row],[Standardized Volume in lbs]]/2.2</f>
        <v>1481.8181818181818</v>
      </c>
      <c r="K175" s="49">
        <f>8*2000</f>
        <v>16000</v>
      </c>
      <c r="L175" s="45" t="s">
        <v>65</v>
      </c>
      <c r="M175" s="33" t="s">
        <v>63</v>
      </c>
      <c r="N175" s="45" t="s">
        <v>66</v>
      </c>
      <c r="O175" s="33" t="s">
        <v>63</v>
      </c>
      <c r="P175" s="33" t="s">
        <v>63</v>
      </c>
      <c r="Q175" s="33" t="s">
        <v>63</v>
      </c>
      <c r="R175" s="33" t="s">
        <v>63</v>
      </c>
      <c r="S175" s="45" t="s">
        <v>77</v>
      </c>
      <c r="T175" s="33" t="s">
        <v>78</v>
      </c>
      <c r="U175" s="33" t="s">
        <v>63</v>
      </c>
      <c r="V175" s="33" t="s">
        <v>69</v>
      </c>
      <c r="W175" s="33" t="s">
        <v>70</v>
      </c>
      <c r="X175" s="45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175" s="45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175" s="45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175" s="45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175" s="33" t="s">
        <v>71</v>
      </c>
      <c r="AC175" s="33" t="s">
        <v>72</v>
      </c>
      <c r="AD175" s="33">
        <v>12.3</v>
      </c>
      <c r="AE175" s="33" t="s">
        <v>73</v>
      </c>
      <c r="AF175" s="38" t="s">
        <v>74</v>
      </c>
      <c r="AG175" s="38" t="s">
        <v>75</v>
      </c>
      <c r="AH175" s="33">
        <v>37143</v>
      </c>
      <c r="AI175" s="33" t="s">
        <v>63</v>
      </c>
      <c r="AJ175" s="45" t="s">
        <v>71</v>
      </c>
      <c r="AK175" s="37">
        <v>450.98</v>
      </c>
      <c r="AL175" s="37">
        <v>108.58</v>
      </c>
      <c r="AM175" s="47">
        <f t="shared" si="22"/>
        <v>176.9854</v>
      </c>
      <c r="AN175" s="37">
        <v>0</v>
      </c>
      <c r="AO175" s="37">
        <v>0</v>
      </c>
      <c r="AP175" s="37">
        <v>0</v>
      </c>
      <c r="AQ175" s="37">
        <v>0</v>
      </c>
      <c r="AR175" s="37">
        <v>275</v>
      </c>
      <c r="AS175" s="47">
        <v>90</v>
      </c>
      <c r="AT175" s="37">
        <f t="shared" si="23"/>
        <v>146.69999999999999</v>
      </c>
      <c r="AU175" s="47">
        <v>0</v>
      </c>
      <c r="AV175" s="47">
        <v>0</v>
      </c>
      <c r="AW175" s="37">
        <v>0</v>
      </c>
      <c r="AX175" s="37">
        <v>0</v>
      </c>
      <c r="AY175" s="31"/>
      <c r="AZ175" s="31"/>
      <c r="BA175" s="31"/>
      <c r="BB175" s="31"/>
    </row>
    <row r="176" spans="1:54" x14ac:dyDescent="0.25">
      <c r="A176" s="33" t="s">
        <v>61</v>
      </c>
      <c r="B176" s="33" t="s">
        <v>62</v>
      </c>
      <c r="C176" s="55">
        <v>45561</v>
      </c>
      <c r="D176" s="33">
        <v>410220</v>
      </c>
      <c r="E176" s="34" t="s">
        <v>63</v>
      </c>
      <c r="F176" s="45" t="s">
        <v>64</v>
      </c>
      <c r="G176" s="45">
        <v>5.15</v>
      </c>
      <c r="H176" s="45">
        <v>2000</v>
      </c>
      <c r="I176" s="45">
        <f t="shared" si="20"/>
        <v>10300</v>
      </c>
      <c r="J176" s="49">
        <f>WasteShipmentData[[#This Row],[Standardized Volume in lbs]]/2.2</f>
        <v>4681.8181818181811</v>
      </c>
      <c r="K176" s="49">
        <f>8*2000</f>
        <v>16000</v>
      </c>
      <c r="L176" s="45" t="s">
        <v>65</v>
      </c>
      <c r="M176" s="33" t="s">
        <v>63</v>
      </c>
      <c r="N176" s="33" t="s">
        <v>66</v>
      </c>
      <c r="O176" s="33" t="s">
        <v>63</v>
      </c>
      <c r="P176" s="33" t="s">
        <v>63</v>
      </c>
      <c r="Q176" s="33" t="s">
        <v>63</v>
      </c>
      <c r="R176" s="33" t="s">
        <v>63</v>
      </c>
      <c r="S176" s="45" t="s">
        <v>77</v>
      </c>
      <c r="T176" s="33" t="s">
        <v>78</v>
      </c>
      <c r="U176" s="33" t="s">
        <v>63</v>
      </c>
      <c r="V176" s="33" t="s">
        <v>69</v>
      </c>
      <c r="W176" s="33" t="s">
        <v>70</v>
      </c>
      <c r="X176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176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176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176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176" s="33" t="s">
        <v>71</v>
      </c>
      <c r="AC176" s="33" t="s">
        <v>72</v>
      </c>
      <c r="AD176" s="33">
        <v>12.3</v>
      </c>
      <c r="AE176" s="33" t="s">
        <v>73</v>
      </c>
      <c r="AF176" s="38" t="s">
        <v>74</v>
      </c>
      <c r="AG176" s="38" t="s">
        <v>75</v>
      </c>
      <c r="AH176" s="33">
        <v>37143</v>
      </c>
      <c r="AI176" s="33" t="s">
        <v>63</v>
      </c>
      <c r="AJ176" s="45" t="s">
        <v>71</v>
      </c>
      <c r="AK176" s="37">
        <v>450.98</v>
      </c>
      <c r="AL176" s="37">
        <v>108.58</v>
      </c>
      <c r="AM176" s="47">
        <f t="shared" si="22"/>
        <v>559.18700000000001</v>
      </c>
      <c r="AN176" s="37">
        <v>0</v>
      </c>
      <c r="AO176" s="37">
        <v>0</v>
      </c>
      <c r="AP176" s="37">
        <v>0</v>
      </c>
      <c r="AQ176" s="37">
        <v>0</v>
      </c>
      <c r="AR176" s="37">
        <v>275</v>
      </c>
      <c r="AS176" s="47">
        <v>90</v>
      </c>
      <c r="AT176" s="37">
        <f t="shared" si="23"/>
        <v>463.50000000000006</v>
      </c>
      <c r="AU176" s="47">
        <v>0</v>
      </c>
      <c r="AV176" s="47">
        <v>0</v>
      </c>
      <c r="AW176" s="37">
        <v>0</v>
      </c>
      <c r="AX176" s="37">
        <v>0</v>
      </c>
      <c r="AY176" s="31"/>
      <c r="AZ176" s="31"/>
      <c r="BA176" s="31"/>
      <c r="BB176" s="31"/>
    </row>
    <row r="177" spans="1:54" x14ac:dyDescent="0.25">
      <c r="A177" s="33" t="s">
        <v>61</v>
      </c>
      <c r="B177" s="33" t="s">
        <v>76</v>
      </c>
      <c r="C177" s="55">
        <v>45562</v>
      </c>
      <c r="D177" s="33">
        <v>410223</v>
      </c>
      <c r="E177" s="34" t="s">
        <v>63</v>
      </c>
      <c r="F177" s="45" t="s">
        <v>64</v>
      </c>
      <c r="G177" s="45">
        <v>1.42</v>
      </c>
      <c r="H177" s="33">
        <v>2000</v>
      </c>
      <c r="I177" s="45">
        <f t="shared" si="20"/>
        <v>2840</v>
      </c>
      <c r="J177" s="49">
        <f>WasteShipmentData[[#This Row],[Standardized Volume in lbs]]/2.2</f>
        <v>1290.9090909090908</v>
      </c>
      <c r="K177" s="49">
        <v>2500</v>
      </c>
      <c r="L177" s="45" t="s">
        <v>65</v>
      </c>
      <c r="M177" s="33" t="s">
        <v>63</v>
      </c>
      <c r="N177" s="33" t="s">
        <v>66</v>
      </c>
      <c r="O177" s="33" t="s">
        <v>63</v>
      </c>
      <c r="P177" s="33" t="s">
        <v>63</v>
      </c>
      <c r="Q177" s="33" t="s">
        <v>63</v>
      </c>
      <c r="R177" s="33" t="s">
        <v>63</v>
      </c>
      <c r="S177" s="45" t="s">
        <v>67</v>
      </c>
      <c r="T177" s="33" t="s">
        <v>68</v>
      </c>
      <c r="U177" s="33" t="s">
        <v>63</v>
      </c>
      <c r="V177" s="33" t="s">
        <v>69</v>
      </c>
      <c r="W177" s="33" t="s">
        <v>70</v>
      </c>
      <c r="X177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177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177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177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177" s="33" t="s">
        <v>71</v>
      </c>
      <c r="AC177" s="33" t="s">
        <v>72</v>
      </c>
      <c r="AD177" s="33">
        <v>12.3</v>
      </c>
      <c r="AE177" s="33" t="s">
        <v>73</v>
      </c>
      <c r="AF177" s="38" t="s">
        <v>74</v>
      </c>
      <c r="AG177" s="38" t="s">
        <v>75</v>
      </c>
      <c r="AH177" s="33">
        <v>37143</v>
      </c>
      <c r="AI177" s="33" t="s">
        <v>63</v>
      </c>
      <c r="AJ177" s="45" t="s">
        <v>71</v>
      </c>
      <c r="AK177" s="37">
        <v>450.98</v>
      </c>
      <c r="AL177" s="47">
        <v>108.58</v>
      </c>
      <c r="AM177" s="47">
        <f t="shared" si="22"/>
        <v>154.18359999999998</v>
      </c>
      <c r="AN177" s="37">
        <v>0</v>
      </c>
      <c r="AO177" s="37">
        <v>0</v>
      </c>
      <c r="AP177" s="37">
        <v>0</v>
      </c>
      <c r="AQ177" s="37">
        <v>0</v>
      </c>
      <c r="AR177" s="37">
        <v>275</v>
      </c>
      <c r="AS177" s="47">
        <v>90</v>
      </c>
      <c r="AT177" s="37">
        <f t="shared" si="23"/>
        <v>127.8</v>
      </c>
      <c r="AU177" s="47">
        <v>0</v>
      </c>
      <c r="AV177" s="47">
        <v>0</v>
      </c>
      <c r="AW177" s="37">
        <v>0</v>
      </c>
      <c r="AX177" s="37">
        <v>0</v>
      </c>
      <c r="AY177" s="31"/>
      <c r="AZ177" s="31"/>
      <c r="BA177" s="31"/>
      <c r="BB177" s="31"/>
    </row>
    <row r="178" spans="1:54" x14ac:dyDescent="0.25">
      <c r="A178" s="45" t="s">
        <v>90</v>
      </c>
      <c r="B178" s="33" t="s">
        <v>91</v>
      </c>
      <c r="C178" s="55">
        <v>45562</v>
      </c>
      <c r="D178" s="33">
        <v>410224</v>
      </c>
      <c r="E178" s="34" t="s">
        <v>63</v>
      </c>
      <c r="F178" s="45" t="s">
        <v>112</v>
      </c>
      <c r="G178" s="45">
        <v>3</v>
      </c>
      <c r="H178" s="45">
        <v>1850</v>
      </c>
      <c r="I178" s="45">
        <v>5550</v>
      </c>
      <c r="J178" s="49">
        <f>WasteShipmentData[[#This Row],[Standardized Volume in lbs]]/2.2</f>
        <v>2522.7272727272725</v>
      </c>
      <c r="K178" s="49">
        <v>550</v>
      </c>
      <c r="L178" s="33" t="s">
        <v>65</v>
      </c>
      <c r="M178" s="33" t="s">
        <v>63</v>
      </c>
      <c r="N178" s="45" t="s">
        <v>83</v>
      </c>
      <c r="O178" s="33" t="s">
        <v>63</v>
      </c>
      <c r="P178" s="33" t="s">
        <v>63</v>
      </c>
      <c r="Q178" s="33" t="s">
        <v>63</v>
      </c>
      <c r="R178" s="33" t="s">
        <v>63</v>
      </c>
      <c r="S178" s="45" t="s">
        <v>113</v>
      </c>
      <c r="T178" s="33" t="s">
        <v>68</v>
      </c>
      <c r="U178" s="45">
        <v>2817493</v>
      </c>
      <c r="V178" s="33" t="s">
        <v>69</v>
      </c>
      <c r="W178" s="33" t="s">
        <v>70</v>
      </c>
      <c r="X178" s="45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178" s="45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178" s="45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178" s="45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178" s="33" t="s">
        <v>95</v>
      </c>
      <c r="AC178" s="33" t="s">
        <v>95</v>
      </c>
      <c r="AD178" s="33">
        <v>26.9</v>
      </c>
      <c r="AE178" s="33" t="s">
        <v>96</v>
      </c>
      <c r="AF178" s="38" t="s">
        <v>97</v>
      </c>
      <c r="AG178" s="38" t="s">
        <v>75</v>
      </c>
      <c r="AH178" s="33">
        <v>37210</v>
      </c>
      <c r="AI178" s="38" t="s">
        <v>98</v>
      </c>
      <c r="AJ178" s="45" t="s">
        <v>95</v>
      </c>
      <c r="AK178" s="37">
        <v>0</v>
      </c>
      <c r="AL178" s="47">
        <v>1334.03</v>
      </c>
      <c r="AM178" s="47">
        <f t="shared" si="22"/>
        <v>4002.09</v>
      </c>
      <c r="AN178" s="37">
        <v>0</v>
      </c>
      <c r="AO178" s="37">
        <v>0</v>
      </c>
      <c r="AP178" s="37">
        <v>0</v>
      </c>
      <c r="AQ178" s="37">
        <v>0</v>
      </c>
      <c r="AR178" s="37">
        <v>0</v>
      </c>
      <c r="AS178" s="47">
        <v>1067.23</v>
      </c>
      <c r="AT178" s="37">
        <f t="shared" si="23"/>
        <v>3201.69</v>
      </c>
      <c r="AU178" s="47">
        <v>0</v>
      </c>
      <c r="AV178" s="47">
        <v>0</v>
      </c>
      <c r="AW178" s="37">
        <v>0</v>
      </c>
      <c r="AX178" s="37">
        <v>0</v>
      </c>
      <c r="AY178" s="31"/>
      <c r="AZ178" s="31"/>
      <c r="BA178" s="31"/>
      <c r="BB178" s="31"/>
    </row>
    <row r="179" spans="1:54" x14ac:dyDescent="0.25">
      <c r="A179" s="45" t="s">
        <v>119</v>
      </c>
      <c r="B179" s="33" t="s">
        <v>91</v>
      </c>
      <c r="C179" s="55">
        <v>45562</v>
      </c>
      <c r="D179" s="33">
        <v>410225</v>
      </c>
      <c r="E179" s="34" t="s">
        <v>63</v>
      </c>
      <c r="F179" s="45" t="s">
        <v>116</v>
      </c>
      <c r="G179" s="45">
        <v>28</v>
      </c>
      <c r="H179" s="45">
        <v>50</v>
      </c>
      <c r="I179" s="45">
        <v>1400</v>
      </c>
      <c r="J179" s="49">
        <f>WasteShipmentData[[#This Row],[Standardized Volume in lbs]]/2.2</f>
        <v>636.36363636363626</v>
      </c>
      <c r="K179" s="49">
        <v>50</v>
      </c>
      <c r="L179" s="45" t="s">
        <v>83</v>
      </c>
      <c r="M179" s="33" t="s">
        <v>63</v>
      </c>
      <c r="N179" s="45" t="s">
        <v>83</v>
      </c>
      <c r="O179" s="33" t="s">
        <v>63</v>
      </c>
      <c r="P179" s="33" t="s">
        <v>63</v>
      </c>
      <c r="Q179" s="33" t="s">
        <v>63</v>
      </c>
      <c r="R179" s="33" t="s">
        <v>63</v>
      </c>
      <c r="S179" s="45" t="s">
        <v>113</v>
      </c>
      <c r="T179" s="33" t="s">
        <v>68</v>
      </c>
      <c r="U179" s="33" t="s">
        <v>63</v>
      </c>
      <c r="V179" s="33" t="s">
        <v>69</v>
      </c>
      <c r="W179" s="33" t="s">
        <v>70</v>
      </c>
      <c r="X179" s="45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179" s="45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179" s="45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179" s="45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179" s="33" t="s">
        <v>95</v>
      </c>
      <c r="AC179" s="33" t="s">
        <v>95</v>
      </c>
      <c r="AD179" s="45">
        <v>26.9</v>
      </c>
      <c r="AE179" s="45" t="s">
        <v>96</v>
      </c>
      <c r="AF179" s="38" t="s">
        <v>97</v>
      </c>
      <c r="AG179" s="38" t="s">
        <v>75</v>
      </c>
      <c r="AH179" s="45">
        <v>37210</v>
      </c>
      <c r="AI179" s="46" t="s">
        <v>98</v>
      </c>
      <c r="AJ179" s="45" t="s">
        <v>95</v>
      </c>
      <c r="AK179" s="47">
        <v>0</v>
      </c>
      <c r="AL179" s="47">
        <v>84.67</v>
      </c>
      <c r="AM179" s="47">
        <f t="shared" si="22"/>
        <v>2370.7600000000002</v>
      </c>
      <c r="AN179" s="37">
        <v>0</v>
      </c>
      <c r="AO179" s="37">
        <v>0</v>
      </c>
      <c r="AP179" s="37">
        <v>0</v>
      </c>
      <c r="AQ179" s="37">
        <v>0</v>
      </c>
      <c r="AR179" s="37">
        <v>0</v>
      </c>
      <c r="AS179" s="47">
        <v>75</v>
      </c>
      <c r="AT179" s="37">
        <f t="shared" si="23"/>
        <v>2100</v>
      </c>
      <c r="AU179" s="47">
        <v>0</v>
      </c>
      <c r="AV179" s="47">
        <v>0</v>
      </c>
      <c r="AW179" s="37">
        <v>0</v>
      </c>
      <c r="AX179" s="37">
        <v>0</v>
      </c>
      <c r="AY179" s="31"/>
      <c r="AZ179" s="31"/>
      <c r="BA179" s="31"/>
      <c r="BB179" s="31"/>
    </row>
    <row r="180" spans="1:54" x14ac:dyDescent="0.25">
      <c r="A180" s="33" t="s">
        <v>79</v>
      </c>
      <c r="B180" s="33" t="s">
        <v>80</v>
      </c>
      <c r="C180" s="55">
        <v>45565</v>
      </c>
      <c r="D180" s="33">
        <v>410228</v>
      </c>
      <c r="E180" s="34" t="s">
        <v>63</v>
      </c>
      <c r="F180" s="45" t="s">
        <v>64</v>
      </c>
      <c r="G180" s="45">
        <v>10.27</v>
      </c>
      <c r="H180" s="45">
        <v>2000</v>
      </c>
      <c r="I180" s="45">
        <f>G180*2000</f>
        <v>20540</v>
      </c>
      <c r="J180" s="49">
        <f>WasteShipmentData[[#This Row],[Standardized Volume in lbs]]/2.2</f>
        <v>9336.363636363636</v>
      </c>
      <c r="K180" s="49">
        <f>8*2000</f>
        <v>16000</v>
      </c>
      <c r="L180" s="45" t="s">
        <v>65</v>
      </c>
      <c r="M180" s="33" t="s">
        <v>63</v>
      </c>
      <c r="N180" s="33" t="s">
        <v>66</v>
      </c>
      <c r="O180" s="33" t="s">
        <v>63</v>
      </c>
      <c r="P180" s="33" t="s">
        <v>63</v>
      </c>
      <c r="Q180" s="33" t="s">
        <v>63</v>
      </c>
      <c r="R180" s="33" t="s">
        <v>63</v>
      </c>
      <c r="S180" s="45" t="s">
        <v>67</v>
      </c>
      <c r="T180" s="33" t="s">
        <v>68</v>
      </c>
      <c r="U180" s="33" t="s">
        <v>63</v>
      </c>
      <c r="V180" s="33" t="s">
        <v>69</v>
      </c>
      <c r="W180" s="33" t="s">
        <v>70</v>
      </c>
      <c r="X180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180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180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180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180" s="33" t="s">
        <v>71</v>
      </c>
      <c r="AC180" s="33" t="s">
        <v>72</v>
      </c>
      <c r="AD180" s="45">
        <v>12.3</v>
      </c>
      <c r="AE180" s="45" t="s">
        <v>73</v>
      </c>
      <c r="AF180" s="38" t="s">
        <v>74</v>
      </c>
      <c r="AG180" s="38" t="s">
        <v>75</v>
      </c>
      <c r="AH180" s="45">
        <v>37143</v>
      </c>
      <c r="AI180" s="45" t="s">
        <v>63</v>
      </c>
      <c r="AJ180" s="45" t="s">
        <v>71</v>
      </c>
      <c r="AK180" s="47">
        <v>717.46</v>
      </c>
      <c r="AL180" s="47">
        <v>80.709999999999994</v>
      </c>
      <c r="AM180" s="47">
        <f t="shared" si="22"/>
        <v>828.8916999999999</v>
      </c>
      <c r="AN180" s="37">
        <v>0</v>
      </c>
      <c r="AO180" s="37">
        <v>0</v>
      </c>
      <c r="AP180" s="37">
        <v>0</v>
      </c>
      <c r="AQ180" s="37">
        <v>122.97</v>
      </c>
      <c r="AR180" s="37">
        <v>400</v>
      </c>
      <c r="AS180" s="47">
        <v>45</v>
      </c>
      <c r="AT180" s="37">
        <f t="shared" si="23"/>
        <v>462.15</v>
      </c>
      <c r="AU180" s="47">
        <v>0</v>
      </c>
      <c r="AV180" s="47">
        <v>0</v>
      </c>
      <c r="AW180" s="37">
        <v>0</v>
      </c>
      <c r="AX180" s="37">
        <v>75</v>
      </c>
      <c r="AY180" s="31"/>
      <c r="AZ180" s="31"/>
      <c r="BA180" s="31"/>
      <c r="BB180" s="31"/>
    </row>
    <row r="181" spans="1:54" x14ac:dyDescent="0.25">
      <c r="A181" s="33" t="s">
        <v>61</v>
      </c>
      <c r="B181" s="33" t="s">
        <v>76</v>
      </c>
      <c r="C181" s="55">
        <v>45565</v>
      </c>
      <c r="D181" s="33">
        <v>410227</v>
      </c>
      <c r="E181" s="34" t="s">
        <v>63</v>
      </c>
      <c r="F181" s="45" t="s">
        <v>64</v>
      </c>
      <c r="G181" s="45">
        <v>2.52</v>
      </c>
      <c r="H181" s="33">
        <v>2000</v>
      </c>
      <c r="I181" s="45">
        <f>G181*2000</f>
        <v>5040</v>
      </c>
      <c r="J181" s="49">
        <f>WasteShipmentData[[#This Row],[Standardized Volume in lbs]]/2.2</f>
        <v>2290.9090909090905</v>
      </c>
      <c r="K181" s="49">
        <f>8*2000</f>
        <v>16000</v>
      </c>
      <c r="L181" s="45" t="s">
        <v>65</v>
      </c>
      <c r="M181" s="33" t="s">
        <v>63</v>
      </c>
      <c r="N181" s="33" t="s">
        <v>66</v>
      </c>
      <c r="O181" s="33" t="s">
        <v>63</v>
      </c>
      <c r="P181" s="33" t="s">
        <v>63</v>
      </c>
      <c r="Q181" s="33" t="s">
        <v>63</v>
      </c>
      <c r="R181" s="33" t="s">
        <v>63</v>
      </c>
      <c r="S181" s="45" t="s">
        <v>77</v>
      </c>
      <c r="T181" s="33" t="s">
        <v>78</v>
      </c>
      <c r="U181" s="33" t="s">
        <v>63</v>
      </c>
      <c r="V181" s="33" t="s">
        <v>69</v>
      </c>
      <c r="W181" s="33" t="s">
        <v>70</v>
      </c>
      <c r="X181" s="33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181" s="33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181" s="33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181" s="33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181" s="33" t="s">
        <v>71</v>
      </c>
      <c r="AC181" s="33" t="s">
        <v>72</v>
      </c>
      <c r="AD181" s="45">
        <v>12.3</v>
      </c>
      <c r="AE181" s="45" t="s">
        <v>73</v>
      </c>
      <c r="AF181" s="38" t="s">
        <v>74</v>
      </c>
      <c r="AG181" s="38" t="s">
        <v>75</v>
      </c>
      <c r="AH181" s="45">
        <v>37143</v>
      </c>
      <c r="AI181" s="45" t="s">
        <v>63</v>
      </c>
      <c r="AJ181" s="45" t="s">
        <v>71</v>
      </c>
      <c r="AK181" s="47">
        <v>450.98</v>
      </c>
      <c r="AL181" s="47">
        <v>108.58</v>
      </c>
      <c r="AM181" s="47">
        <f t="shared" si="22"/>
        <v>273.6216</v>
      </c>
      <c r="AN181" s="37">
        <v>0</v>
      </c>
      <c r="AO181" s="37">
        <v>0</v>
      </c>
      <c r="AP181" s="37">
        <v>0</v>
      </c>
      <c r="AQ181" s="37">
        <v>0</v>
      </c>
      <c r="AR181" s="37">
        <v>275</v>
      </c>
      <c r="AS181" s="47">
        <v>90</v>
      </c>
      <c r="AT181" s="37">
        <f t="shared" si="23"/>
        <v>226.8</v>
      </c>
      <c r="AU181" s="47">
        <v>0</v>
      </c>
      <c r="AV181" s="47">
        <v>0</v>
      </c>
      <c r="AW181" s="37">
        <v>0</v>
      </c>
      <c r="AX181" s="37">
        <v>0</v>
      </c>
      <c r="AY181" s="31"/>
      <c r="AZ181" s="31"/>
      <c r="BA181" s="31"/>
      <c r="BB181" s="31"/>
    </row>
    <row r="182" spans="1:54" x14ac:dyDescent="0.25">
      <c r="A182" s="45" t="s">
        <v>61</v>
      </c>
      <c r="B182" s="33" t="s">
        <v>62</v>
      </c>
      <c r="C182" s="55">
        <v>45565</v>
      </c>
      <c r="D182" s="33">
        <v>410226</v>
      </c>
      <c r="E182" s="34" t="s">
        <v>63</v>
      </c>
      <c r="F182" s="45" t="s">
        <v>64</v>
      </c>
      <c r="G182" s="45">
        <v>2.4</v>
      </c>
      <c r="H182" s="45">
        <v>2000</v>
      </c>
      <c r="I182" s="45">
        <f>G182*2000</f>
        <v>4800</v>
      </c>
      <c r="J182" s="49">
        <f>WasteShipmentData[[#This Row],[Standardized Volume in lbs]]/2.2</f>
        <v>2181.8181818181815</v>
      </c>
      <c r="K182" s="49">
        <f>8*2000</f>
        <v>16000</v>
      </c>
      <c r="L182" s="33" t="s">
        <v>65</v>
      </c>
      <c r="M182" s="33" t="s">
        <v>63</v>
      </c>
      <c r="N182" s="45" t="s">
        <v>66</v>
      </c>
      <c r="O182" s="33" t="s">
        <v>63</v>
      </c>
      <c r="P182" s="33" t="s">
        <v>63</v>
      </c>
      <c r="Q182" s="33" t="s">
        <v>63</v>
      </c>
      <c r="R182" s="33" t="s">
        <v>63</v>
      </c>
      <c r="S182" s="45" t="s">
        <v>77</v>
      </c>
      <c r="T182" s="33" t="s">
        <v>78</v>
      </c>
      <c r="U182" s="33" t="s">
        <v>63</v>
      </c>
      <c r="V182" s="33" t="s">
        <v>69</v>
      </c>
      <c r="W182" s="33" t="s">
        <v>70</v>
      </c>
      <c r="X182" s="45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182" s="45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182" s="45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182" s="45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182" s="33" t="s">
        <v>71</v>
      </c>
      <c r="AC182" s="33" t="s">
        <v>72</v>
      </c>
      <c r="AD182" s="45">
        <v>12.3</v>
      </c>
      <c r="AE182" s="45" t="s">
        <v>73</v>
      </c>
      <c r="AF182" s="38" t="s">
        <v>74</v>
      </c>
      <c r="AG182" s="38" t="s">
        <v>75</v>
      </c>
      <c r="AH182" s="45">
        <v>37143</v>
      </c>
      <c r="AI182" s="45" t="s">
        <v>63</v>
      </c>
      <c r="AJ182" s="45" t="s">
        <v>71</v>
      </c>
      <c r="AK182" s="47">
        <v>450.98</v>
      </c>
      <c r="AL182" s="47">
        <v>108.58</v>
      </c>
      <c r="AM182" s="47">
        <f t="shared" si="22"/>
        <v>260.59199999999998</v>
      </c>
      <c r="AN182" s="37">
        <v>0</v>
      </c>
      <c r="AO182" s="37">
        <v>0</v>
      </c>
      <c r="AP182" s="37">
        <v>0</v>
      </c>
      <c r="AQ182" s="37">
        <v>0</v>
      </c>
      <c r="AR182" s="37">
        <v>275</v>
      </c>
      <c r="AS182" s="47">
        <v>90</v>
      </c>
      <c r="AT182" s="37">
        <f t="shared" si="23"/>
        <v>216</v>
      </c>
      <c r="AU182" s="47">
        <v>0</v>
      </c>
      <c r="AV182" s="47">
        <v>0</v>
      </c>
      <c r="AW182" s="37">
        <v>0</v>
      </c>
      <c r="AX182" s="37">
        <v>0</v>
      </c>
      <c r="AY182" s="31"/>
      <c r="AZ182" s="31"/>
      <c r="BA182" s="31"/>
      <c r="BB182" s="31"/>
    </row>
    <row r="183" spans="1:54" x14ac:dyDescent="0.25">
      <c r="A183" s="45" t="s">
        <v>61</v>
      </c>
      <c r="B183" s="45" t="s">
        <v>62</v>
      </c>
      <c r="C183" s="58">
        <v>45631</v>
      </c>
      <c r="D183" s="61">
        <v>410227</v>
      </c>
      <c r="E183" s="59" t="s">
        <v>63</v>
      </c>
      <c r="F183" s="45" t="s">
        <v>64</v>
      </c>
      <c r="G183" s="60">
        <v>2.4300000000000002</v>
      </c>
      <c r="H183" s="45">
        <v>2000</v>
      </c>
      <c r="I183" s="45">
        <f>G183*2000</f>
        <v>4860</v>
      </c>
      <c r="J183" s="49">
        <f>WasteShipmentData[[#This Row],[Standardized Volume in lbs]]/2.2</f>
        <v>2209.090909090909</v>
      </c>
      <c r="K183" s="49">
        <f>8*2000</f>
        <v>16000</v>
      </c>
      <c r="L183" s="45" t="s">
        <v>65</v>
      </c>
      <c r="M183" s="45" t="s">
        <v>63</v>
      </c>
      <c r="N183" s="45" t="s">
        <v>66</v>
      </c>
      <c r="O183" s="45" t="s">
        <v>63</v>
      </c>
      <c r="P183" s="46" t="s">
        <v>63</v>
      </c>
      <c r="Q183" s="45" t="s">
        <v>63</v>
      </c>
      <c r="R183" s="45" t="s">
        <v>63</v>
      </c>
      <c r="S183" s="45" t="s">
        <v>77</v>
      </c>
      <c r="T183" s="45" t="s">
        <v>78</v>
      </c>
      <c r="U183" s="45" t="s">
        <v>63</v>
      </c>
      <c r="V183" s="45" t="s">
        <v>69</v>
      </c>
      <c r="W183" s="45" t="s">
        <v>70</v>
      </c>
      <c r="X183" s="45" t="str">
        <f>IF(WasteShipmentData[[#This Row],[Customer]]="","",IF(WasteShipmentData[[#This Row],[Site]]="","",VLOOKUP(WasteShipmentData[[#This Row],[Customer]]&amp;" "&amp;WasteShipmentData[[#This Row],[Site]],Table4[],4,FALSE)))</f>
        <v>500 Tennessee Waltz Parkway</v>
      </c>
      <c r="Y183" s="45" t="str">
        <f>IF(WasteShipmentData[[#This Row],[Customer]]="","",IF(WasteShipmentData[[#This Row],[Site]]="","",VLOOKUP(WasteShipmentData[[#This Row],[Customer]]&amp;" "&amp;WasteShipmentData[[#This Row],[Site]],Table4[],5,FALSE)))</f>
        <v>Ashland City</v>
      </c>
      <c r="Z183" s="45" t="str">
        <f>IF(WasteShipmentData[[#This Row],[Customer]]="","",IF(WasteShipmentData[[#This Row],[Site]]="","",VLOOKUP(WasteShipmentData[[#This Row],[Customer]]&amp;" "&amp;WasteShipmentData[[#This Row],[Site]],Table4[],6,FALSE)))</f>
        <v>TN</v>
      </c>
      <c r="AA183" s="45">
        <f>IF(WasteShipmentData[[#This Row],[Customer]]="","",IF(WasteShipmentData[[#This Row],[Site]]="","",VLOOKUP(WasteShipmentData[[#This Row],[Customer]]&amp;" "&amp;WasteShipmentData[[#This Row],[Site]],Table4[],7,FALSE)))</f>
        <v>37015</v>
      </c>
      <c r="AB183" s="45" t="s">
        <v>71</v>
      </c>
      <c r="AC183" s="45" t="s">
        <v>72</v>
      </c>
      <c r="AD183" s="45">
        <v>12.3</v>
      </c>
      <c r="AE183" s="45" t="s">
        <v>73</v>
      </c>
      <c r="AF183" s="46" t="s">
        <v>74</v>
      </c>
      <c r="AG183" s="46" t="s">
        <v>75</v>
      </c>
      <c r="AH183" s="45">
        <v>37143</v>
      </c>
      <c r="AI183" s="45" t="s">
        <v>63</v>
      </c>
      <c r="AJ183" s="46" t="s">
        <v>71</v>
      </c>
      <c r="AK183" s="47">
        <v>450.98</v>
      </c>
      <c r="AL183" s="47">
        <v>108.58</v>
      </c>
      <c r="AM183" s="47">
        <f t="shared" si="22"/>
        <v>263.8494</v>
      </c>
      <c r="AN183" s="47">
        <v>0</v>
      </c>
      <c r="AO183" s="47">
        <v>0</v>
      </c>
      <c r="AP183" s="47">
        <v>0</v>
      </c>
      <c r="AQ183" s="47">
        <v>0</v>
      </c>
      <c r="AR183" s="47">
        <v>275</v>
      </c>
      <c r="AS183" s="47">
        <v>90</v>
      </c>
      <c r="AT183" s="47">
        <f t="shared" si="23"/>
        <v>218.70000000000002</v>
      </c>
      <c r="AU183" s="47">
        <v>0</v>
      </c>
      <c r="AV183" s="47">
        <v>0</v>
      </c>
      <c r="AW183" s="47">
        <v>0</v>
      </c>
      <c r="AX183" s="47">
        <v>0</v>
      </c>
      <c r="AY183" s="31"/>
      <c r="AZ183" s="31"/>
      <c r="BA183" s="31"/>
      <c r="BB183" s="31"/>
    </row>
    <row r="184" spans="1:54" x14ac:dyDescent="0.25">
      <c r="C184" s="20"/>
      <c r="D184" s="20"/>
      <c r="P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</row>
    <row r="185" spans="1:54" x14ac:dyDescent="0.25">
      <c r="C185" s="20"/>
      <c r="D185" s="20"/>
      <c r="P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</row>
    <row r="186" spans="1:54" x14ac:dyDescent="0.25">
      <c r="C186" s="20"/>
      <c r="D186" s="20"/>
      <c r="P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</row>
    <row r="187" spans="1:54" x14ac:dyDescent="0.25">
      <c r="C187" s="20"/>
      <c r="D187" s="20"/>
      <c r="P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</row>
    <row r="188" spans="1:54" x14ac:dyDescent="0.25">
      <c r="C188" s="20"/>
      <c r="D188" s="20"/>
      <c r="P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</row>
    <row r="189" spans="1:54" x14ac:dyDescent="0.25">
      <c r="C189" s="20"/>
      <c r="D189" s="20"/>
      <c r="P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</row>
    <row r="190" spans="1:54" x14ac:dyDescent="0.25">
      <c r="C190" s="20"/>
      <c r="D190" s="20"/>
      <c r="P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</row>
    <row r="191" spans="1:54" x14ac:dyDescent="0.25">
      <c r="C191" s="20"/>
      <c r="D191" s="20"/>
      <c r="P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</row>
    <row r="192" spans="1:54" x14ac:dyDescent="0.25">
      <c r="C192" s="20"/>
      <c r="D192" s="20"/>
      <c r="P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</row>
    <row r="193" spans="3:44" x14ac:dyDescent="0.25">
      <c r="C193" s="20"/>
      <c r="D193" s="20"/>
      <c r="P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</row>
    <row r="194" spans="3:44" x14ac:dyDescent="0.25">
      <c r="C194" s="20"/>
      <c r="D194" s="20"/>
      <c r="P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</row>
    <row r="195" spans="3:44" x14ac:dyDescent="0.25">
      <c r="C195" s="20"/>
      <c r="D195" s="20"/>
      <c r="P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</row>
    <row r="196" spans="3:44" x14ac:dyDescent="0.25">
      <c r="C196" s="20"/>
      <c r="D196" s="20"/>
      <c r="P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</row>
    <row r="197" spans="3:44" x14ac:dyDescent="0.25">
      <c r="C197" s="20"/>
      <c r="D197" s="20"/>
      <c r="P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</row>
    <row r="198" spans="3:44" x14ac:dyDescent="0.25">
      <c r="C198" s="20"/>
      <c r="D198" s="20"/>
      <c r="P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</row>
    <row r="199" spans="3:44" x14ac:dyDescent="0.25">
      <c r="C199" s="20"/>
      <c r="D199" s="20"/>
      <c r="P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</row>
    <row r="200" spans="3:44" x14ac:dyDescent="0.25">
      <c r="C200" s="20"/>
      <c r="D200" s="20"/>
      <c r="P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</row>
    <row r="201" spans="3:44" x14ac:dyDescent="0.25">
      <c r="C201" s="20"/>
      <c r="D201" s="20"/>
      <c r="P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</row>
    <row r="202" spans="3:44" x14ac:dyDescent="0.25">
      <c r="C202" s="20"/>
      <c r="D202" s="20"/>
      <c r="P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</row>
    <row r="203" spans="3:44" x14ac:dyDescent="0.25">
      <c r="C203" s="20"/>
      <c r="D203" s="20"/>
      <c r="P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</row>
    <row r="204" spans="3:44" x14ac:dyDescent="0.25">
      <c r="C204" s="20"/>
      <c r="D204" s="20"/>
      <c r="P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</row>
    <row r="205" spans="3:44" x14ac:dyDescent="0.25">
      <c r="C205" s="20"/>
      <c r="D205" s="20"/>
      <c r="P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</row>
    <row r="206" spans="3:44" x14ac:dyDescent="0.25">
      <c r="C206" s="20"/>
      <c r="D206" s="20"/>
      <c r="P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</row>
    <row r="207" spans="3:44" x14ac:dyDescent="0.25">
      <c r="C207" s="20"/>
      <c r="D207" s="20"/>
      <c r="P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</row>
    <row r="208" spans="3:44" x14ac:dyDescent="0.25">
      <c r="C208" s="20"/>
      <c r="D208" s="20"/>
      <c r="P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</row>
    <row r="209" spans="3:44" x14ac:dyDescent="0.25">
      <c r="C209" s="20"/>
      <c r="D209" s="20"/>
      <c r="P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</row>
    <row r="210" spans="3:44" x14ac:dyDescent="0.25">
      <c r="C210" s="20"/>
      <c r="D210" s="20"/>
      <c r="P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</row>
    <row r="211" spans="3:44" x14ac:dyDescent="0.25">
      <c r="C211" s="20"/>
      <c r="D211" s="20"/>
      <c r="P211" s="19"/>
      <c r="AF211" s="19"/>
      <c r="AG211" s="19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</row>
    <row r="212" spans="3:44" x14ac:dyDescent="0.25">
      <c r="C212" s="20"/>
      <c r="D212" s="20"/>
      <c r="P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</row>
    <row r="213" spans="3:44" x14ac:dyDescent="0.25">
      <c r="C213" s="20"/>
      <c r="D213" s="20"/>
      <c r="P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</row>
    <row r="214" spans="3:44" x14ac:dyDescent="0.25">
      <c r="C214" s="20"/>
      <c r="D214" s="20"/>
      <c r="P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</row>
    <row r="215" spans="3:44" x14ac:dyDescent="0.25">
      <c r="C215" s="20"/>
      <c r="D215" s="20"/>
      <c r="P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</row>
    <row r="216" spans="3:44" x14ac:dyDescent="0.25">
      <c r="C216" s="20"/>
      <c r="D216" s="20"/>
      <c r="P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</row>
    <row r="217" spans="3:44" x14ac:dyDescent="0.25">
      <c r="C217" s="20"/>
      <c r="D217" s="20"/>
      <c r="P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</row>
    <row r="218" spans="3:44" x14ac:dyDescent="0.25">
      <c r="C218" s="20"/>
      <c r="D218" s="20"/>
      <c r="P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</row>
    <row r="219" spans="3:44" x14ac:dyDescent="0.25">
      <c r="C219" s="20"/>
      <c r="D219" s="20"/>
      <c r="P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</row>
    <row r="220" spans="3:44" x14ac:dyDescent="0.25">
      <c r="C220" s="20"/>
      <c r="D220" s="20"/>
      <c r="P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</row>
    <row r="221" spans="3:44" x14ac:dyDescent="0.25">
      <c r="C221" s="20"/>
      <c r="P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</row>
    <row r="222" spans="3:44" x14ac:dyDescent="0.25">
      <c r="P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</row>
    <row r="223" spans="3:44" x14ac:dyDescent="0.25">
      <c r="P223" s="19"/>
      <c r="AF223" s="19"/>
      <c r="AG223" s="19"/>
      <c r="AH223" s="19"/>
      <c r="AI223" s="19"/>
      <c r="AJ223" s="19"/>
      <c r="AK223" s="19"/>
      <c r="AL223" s="19"/>
      <c r="AM223" s="19"/>
      <c r="AN223" s="19"/>
      <c r="AO223" s="19"/>
      <c r="AP223" s="19"/>
      <c r="AQ223" s="19"/>
      <c r="AR223" s="19"/>
    </row>
    <row r="224" spans="3:44" x14ac:dyDescent="0.25">
      <c r="P224" s="19"/>
      <c r="AF224" s="19"/>
      <c r="AG224" s="19"/>
      <c r="AH224" s="19"/>
      <c r="AI224" s="19"/>
      <c r="AJ224" s="19"/>
      <c r="AK224" s="19"/>
      <c r="AL224" s="19"/>
      <c r="AM224" s="19"/>
      <c r="AN224" s="19"/>
      <c r="AO224" s="19"/>
      <c r="AP224" s="19"/>
      <c r="AQ224" s="19"/>
      <c r="AR224" s="19"/>
    </row>
    <row r="225" spans="16:44" x14ac:dyDescent="0.25">
      <c r="P225" s="19"/>
      <c r="AF225" s="19"/>
      <c r="AG225" s="19"/>
      <c r="AH225" s="19"/>
      <c r="AI225" s="19"/>
      <c r="AJ225" s="19"/>
      <c r="AK225" s="19"/>
      <c r="AL225" s="19"/>
      <c r="AM225" s="19"/>
      <c r="AN225" s="19"/>
      <c r="AO225" s="19"/>
      <c r="AP225" s="19"/>
      <c r="AQ225" s="19"/>
      <c r="AR225" s="19"/>
    </row>
    <row r="226" spans="16:44" x14ac:dyDescent="0.25">
      <c r="P226" s="19"/>
      <c r="AF226" s="19"/>
      <c r="AG226" s="19"/>
      <c r="AH226" s="19"/>
      <c r="AI226" s="19"/>
      <c r="AJ226" s="19"/>
      <c r="AK226" s="19"/>
      <c r="AL226" s="19"/>
      <c r="AM226" s="19"/>
      <c r="AN226" s="19"/>
      <c r="AO226" s="19"/>
      <c r="AP226" s="19"/>
      <c r="AQ226" s="19"/>
      <c r="AR226" s="19"/>
    </row>
    <row r="227" spans="16:44" x14ac:dyDescent="0.25">
      <c r="P227" s="19"/>
      <c r="AF227" s="19"/>
      <c r="AG227" s="19"/>
      <c r="AH227" s="19"/>
      <c r="AI227" s="19"/>
      <c r="AJ227" s="19"/>
      <c r="AK227" s="19"/>
      <c r="AL227" s="19"/>
      <c r="AM227" s="19"/>
      <c r="AN227" s="19"/>
      <c r="AO227" s="19"/>
      <c r="AP227" s="19"/>
      <c r="AQ227" s="19"/>
      <c r="AR227" s="19"/>
    </row>
    <row r="228" spans="16:44" x14ac:dyDescent="0.25">
      <c r="P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</row>
    <row r="229" spans="16:44" x14ac:dyDescent="0.25">
      <c r="P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</row>
    <row r="230" spans="16:44" x14ac:dyDescent="0.25">
      <c r="P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</row>
    <row r="231" spans="16:44" x14ac:dyDescent="0.25">
      <c r="P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</row>
    <row r="232" spans="16:44" x14ac:dyDescent="0.25">
      <c r="P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</row>
    <row r="233" spans="16:44" x14ac:dyDescent="0.25">
      <c r="P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</row>
    <row r="234" spans="16:44" x14ac:dyDescent="0.25">
      <c r="P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</row>
    <row r="235" spans="16:44" x14ac:dyDescent="0.25">
      <c r="P235" s="19"/>
      <c r="AF235" s="19"/>
      <c r="AG235" s="19"/>
      <c r="AH235" s="19"/>
      <c r="AI235" s="19"/>
      <c r="AJ235" s="19"/>
      <c r="AK235" s="19"/>
      <c r="AL235" s="19"/>
      <c r="AM235" s="19"/>
      <c r="AN235" s="19"/>
      <c r="AO235" s="19"/>
      <c r="AP235" s="19"/>
      <c r="AQ235" s="19"/>
      <c r="AR235" s="19"/>
    </row>
    <row r="236" spans="16:44" x14ac:dyDescent="0.25">
      <c r="P236" s="19"/>
      <c r="AF236" s="19"/>
      <c r="AG236" s="19"/>
      <c r="AH236" s="19"/>
      <c r="AI236" s="19"/>
      <c r="AJ236" s="19"/>
      <c r="AK236" s="19"/>
      <c r="AL236" s="19"/>
      <c r="AM236" s="19"/>
      <c r="AN236" s="19"/>
      <c r="AO236" s="19"/>
      <c r="AP236" s="19"/>
      <c r="AQ236" s="19"/>
      <c r="AR236" s="19"/>
    </row>
    <row r="237" spans="16:44" x14ac:dyDescent="0.25">
      <c r="P237" s="19"/>
      <c r="AF237" s="19"/>
      <c r="AG237" s="19"/>
      <c r="AH237" s="19"/>
      <c r="AI237" s="19"/>
      <c r="AJ237" s="19"/>
      <c r="AK237" s="19"/>
      <c r="AL237" s="19"/>
      <c r="AM237" s="19"/>
      <c r="AN237" s="19"/>
      <c r="AO237" s="19"/>
      <c r="AP237" s="19"/>
      <c r="AQ237" s="19"/>
      <c r="AR237" s="19"/>
    </row>
    <row r="238" spans="16:44" x14ac:dyDescent="0.25">
      <c r="P238" s="19"/>
      <c r="AF238" s="19"/>
      <c r="AG238" s="19"/>
      <c r="AH238" s="19"/>
      <c r="AI238" s="19"/>
      <c r="AJ238" s="19"/>
      <c r="AK238" s="19"/>
      <c r="AL238" s="19"/>
      <c r="AM238" s="19"/>
      <c r="AN238" s="19"/>
      <c r="AO238" s="19"/>
      <c r="AP238" s="19"/>
      <c r="AQ238" s="19"/>
      <c r="AR238" s="19"/>
    </row>
    <row r="239" spans="16:44" x14ac:dyDescent="0.25">
      <c r="P239" s="19"/>
      <c r="AF239" s="19"/>
      <c r="AG239" s="19"/>
      <c r="AH239" s="19"/>
      <c r="AI239" s="19"/>
      <c r="AJ239" s="19"/>
      <c r="AK239" s="19"/>
      <c r="AL239" s="19"/>
      <c r="AM239" s="19"/>
      <c r="AN239" s="19"/>
      <c r="AO239" s="19"/>
      <c r="AP239" s="19"/>
      <c r="AQ239" s="19"/>
      <c r="AR239" s="19"/>
    </row>
    <row r="240" spans="16:44" x14ac:dyDescent="0.25">
      <c r="P240" s="19"/>
      <c r="AF240" s="19"/>
      <c r="AG240" s="19"/>
      <c r="AH240" s="19"/>
      <c r="AI240" s="19"/>
      <c r="AJ240" s="19"/>
      <c r="AK240" s="19"/>
      <c r="AL240" s="19"/>
      <c r="AM240" s="19"/>
      <c r="AN240" s="19"/>
      <c r="AO240" s="19"/>
      <c r="AP240" s="19"/>
      <c r="AQ240" s="19"/>
      <c r="AR240" s="19"/>
    </row>
    <row r="241" spans="16:44" x14ac:dyDescent="0.25">
      <c r="P241" s="19"/>
      <c r="AF241" s="19"/>
      <c r="AG241" s="19"/>
      <c r="AH241" s="19"/>
      <c r="AI241" s="19"/>
      <c r="AJ241" s="19"/>
      <c r="AK241" s="19"/>
      <c r="AL241" s="19"/>
      <c r="AM241" s="19"/>
      <c r="AN241" s="19"/>
      <c r="AO241" s="19"/>
      <c r="AP241" s="19"/>
      <c r="AQ241" s="19"/>
      <c r="AR241" s="19"/>
    </row>
    <row r="242" spans="16:44" x14ac:dyDescent="0.25">
      <c r="P242" s="19"/>
      <c r="AF242" s="19"/>
      <c r="AG242" s="19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  <c r="AR242" s="19"/>
    </row>
    <row r="243" spans="16:44" x14ac:dyDescent="0.25">
      <c r="P243" s="19"/>
      <c r="AF243" s="19"/>
      <c r="AG243" s="19"/>
      <c r="AH243" s="19"/>
      <c r="AI243" s="19"/>
      <c r="AJ243" s="19"/>
      <c r="AK243" s="19"/>
      <c r="AL243" s="19"/>
      <c r="AM243" s="19"/>
      <c r="AN243" s="19"/>
      <c r="AO243" s="19"/>
      <c r="AP243" s="19"/>
      <c r="AQ243" s="19"/>
      <c r="AR243" s="19"/>
    </row>
    <row r="244" spans="16:44" x14ac:dyDescent="0.25">
      <c r="P244" s="19"/>
      <c r="AF244" s="19"/>
      <c r="AG244" s="19"/>
      <c r="AH244" s="19"/>
      <c r="AI244" s="19"/>
      <c r="AJ244" s="19"/>
      <c r="AK244" s="19"/>
      <c r="AL244" s="19"/>
      <c r="AM244" s="19"/>
      <c r="AN244" s="19"/>
      <c r="AO244" s="19"/>
      <c r="AP244" s="19"/>
      <c r="AQ244" s="19"/>
      <c r="AR244" s="19"/>
    </row>
    <row r="245" spans="16:44" x14ac:dyDescent="0.25">
      <c r="P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</row>
    <row r="246" spans="16:44" x14ac:dyDescent="0.25">
      <c r="P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</row>
    <row r="247" spans="16:44" x14ac:dyDescent="0.25">
      <c r="P247" s="19"/>
      <c r="AF247" s="19"/>
      <c r="AG247" s="19"/>
      <c r="AH247" s="19"/>
      <c r="AI247" s="19"/>
      <c r="AJ247" s="19"/>
      <c r="AK247" s="19"/>
      <c r="AL247" s="19"/>
      <c r="AM247" s="19"/>
      <c r="AN247" s="19"/>
      <c r="AO247" s="19"/>
      <c r="AP247" s="19"/>
      <c r="AQ247" s="19"/>
      <c r="AR247" s="19"/>
    </row>
    <row r="248" spans="16:44" x14ac:dyDescent="0.25">
      <c r="P248" s="19"/>
      <c r="AF248" s="19"/>
      <c r="AG248" s="19"/>
      <c r="AH248" s="19"/>
      <c r="AI248" s="19"/>
      <c r="AJ248" s="19"/>
      <c r="AK248" s="19"/>
      <c r="AL248" s="19"/>
      <c r="AM248" s="19"/>
      <c r="AN248" s="19"/>
      <c r="AO248" s="19"/>
      <c r="AP248" s="19"/>
      <c r="AQ248" s="19"/>
      <c r="AR248" s="19"/>
    </row>
    <row r="249" spans="16:44" x14ac:dyDescent="0.25">
      <c r="P249" s="19"/>
      <c r="AF249" s="19"/>
      <c r="AG249" s="19"/>
      <c r="AH249" s="19"/>
      <c r="AI249" s="19"/>
      <c r="AJ249" s="19"/>
      <c r="AK249" s="19"/>
      <c r="AL249" s="19"/>
      <c r="AM249" s="19"/>
      <c r="AN249" s="19"/>
      <c r="AO249" s="19"/>
      <c r="AP249" s="19"/>
      <c r="AQ249" s="19"/>
      <c r="AR249" s="19"/>
    </row>
    <row r="250" spans="16:44" x14ac:dyDescent="0.25">
      <c r="P250" s="19"/>
      <c r="AF250" s="19"/>
      <c r="AG250" s="19"/>
      <c r="AH250" s="19"/>
      <c r="AI250" s="19"/>
      <c r="AJ250" s="19"/>
      <c r="AK250" s="19"/>
      <c r="AL250" s="19"/>
      <c r="AM250" s="19"/>
      <c r="AN250" s="19"/>
      <c r="AO250" s="19"/>
      <c r="AP250" s="19"/>
      <c r="AQ250" s="19"/>
      <c r="AR250" s="19"/>
    </row>
    <row r="251" spans="16:44" x14ac:dyDescent="0.25">
      <c r="P251" s="19"/>
      <c r="AF251" s="19"/>
      <c r="AG251" s="19"/>
      <c r="AH251" s="19"/>
      <c r="AI251" s="19"/>
      <c r="AJ251" s="19"/>
      <c r="AK251" s="19"/>
      <c r="AL251" s="19"/>
      <c r="AM251" s="19"/>
      <c r="AN251" s="19"/>
      <c r="AO251" s="19"/>
      <c r="AP251" s="19"/>
      <c r="AQ251" s="19"/>
      <c r="AR251" s="19"/>
    </row>
    <row r="252" spans="16:44" x14ac:dyDescent="0.25">
      <c r="P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</row>
    <row r="253" spans="16:44" x14ac:dyDescent="0.25">
      <c r="P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</row>
    <row r="254" spans="16:44" x14ac:dyDescent="0.25">
      <c r="P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</row>
    <row r="255" spans="16:44" x14ac:dyDescent="0.25">
      <c r="P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</row>
    <row r="256" spans="16:44" x14ac:dyDescent="0.25">
      <c r="P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</row>
    <row r="257" spans="16:44" x14ac:dyDescent="0.25">
      <c r="P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</row>
    <row r="258" spans="16:44" x14ac:dyDescent="0.25">
      <c r="P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</row>
    <row r="259" spans="16:44" x14ac:dyDescent="0.25">
      <c r="P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</row>
    <row r="260" spans="16:44" x14ac:dyDescent="0.25">
      <c r="P260" s="19"/>
      <c r="AF260" s="19"/>
      <c r="AG260" s="19"/>
      <c r="AH260" s="19"/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</row>
  </sheetData>
  <mergeCells count="7">
    <mergeCell ref="AR1:AX1"/>
    <mergeCell ref="AY1:BB1"/>
    <mergeCell ref="A1:G1"/>
    <mergeCell ref="H1:U1"/>
    <mergeCell ref="V1:AA1"/>
    <mergeCell ref="AB1:AI1"/>
    <mergeCell ref="AK1:AQ1"/>
  </mergeCells>
  <pageMargins left="0.7" right="0.7" top="0.75" bottom="0.75" header="0.3" footer="0.3"/>
  <pageSetup orientation="portrait" horizontalDpi="120" verticalDpi="72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xr:uid="{65A0FAFD-EAFB-4B6D-8A6F-CE738D556A9F}">
          <x14:formula1>
            <xm:f>'Selection Lists'!$A$2:$A$231</xm:f>
          </x14:formula1>
          <xm:sqref>A3:A183</xm:sqref>
        </x14:dataValidation>
        <x14:dataValidation type="list" allowBlank="1" showInputMessage="1" showErrorMessage="1" xr:uid="{5B065676-B87E-403C-91EA-0AEAF5C3AEFB}">
          <x14:formula1>
            <xm:f>'Selection Lists'!$C$2:$C$13</xm:f>
          </x14:formula1>
          <xm:sqref>L3:L183</xm:sqref>
        </x14:dataValidation>
        <x14:dataValidation type="list" allowBlank="1" showInputMessage="1" showErrorMessage="1" xr:uid="{2EBD1EC5-AB36-403B-BBD7-B2D5649A1FA1}">
          <x14:formula1>
            <xm:f>'Selection Lists'!$E$2:$E$9</xm:f>
          </x14:formula1>
          <xm:sqref>N3:N183</xm:sqref>
        </x14:dataValidation>
        <x14:dataValidation type="list" allowBlank="1" showInputMessage="1" showErrorMessage="1" xr:uid="{2ABAFE08-EDB9-4A52-8292-386E9B8C111B}">
          <x14:formula1>
            <xm:f>'Selection Lists'!$Y$2:$Y$53</xm:f>
          </x14:formula1>
          <xm:sqref>O3:O183</xm:sqref>
        </x14:dataValidation>
        <x14:dataValidation type="list" allowBlank="1" showInputMessage="1" showErrorMessage="1" xr:uid="{2B678547-A429-45F6-A917-15380BE25A7D}">
          <x14:formula1>
            <xm:f>'Selection Lists'!$AA$2:$AA$51</xm:f>
          </x14:formula1>
          <xm:sqref>P3:P183</xm:sqref>
        </x14:dataValidation>
        <x14:dataValidation type="list" allowBlank="1" showInputMessage="1" showErrorMessage="1" xr:uid="{268EF4B8-2121-4728-B6F2-E9CF66F9E0AF}">
          <x14:formula1>
            <xm:f>'Selection Lists'!$AC$2:$AC$28</xm:f>
          </x14:formula1>
          <xm:sqref>Q3:Q183</xm:sqref>
        </x14:dataValidation>
        <x14:dataValidation type="list" allowBlank="1" showInputMessage="1" showErrorMessage="1" xr:uid="{A959AB08-B875-4E44-A85F-CF191C8505E6}">
          <x14:formula1>
            <xm:f>'Selection Lists'!$AE$2:$AE$843</xm:f>
          </x14:formula1>
          <xm:sqref>R3:R183 U3:U29 U34:U69 U74:U111 U116:U147 U150 U155:U177 U179:U183</xm:sqref>
        </x14:dataValidation>
        <x14:dataValidation type="list" allowBlank="1" showInputMessage="1" showErrorMessage="1" xr:uid="{CEE3DC73-7BDE-4247-A828-461247374ADD}">
          <x14:formula1>
            <xm:f>'Selection Lists'!$I$2:$I$16</xm:f>
          </x14:formula1>
          <xm:sqref>S3:S183</xm:sqref>
        </x14:dataValidation>
        <x14:dataValidation type="list" allowBlank="1" showInputMessage="1" showErrorMessage="1" xr:uid="{7B843C9B-EE86-402E-8C7E-D44F48D8DA28}">
          <x14:formula1>
            <xm:f>'Selection Lists'!$K$2:$K$10</xm:f>
          </x14:formula1>
          <xm:sqref>T3:T183</xm:sqref>
        </x14:dataValidation>
        <x14:dataValidation type="list" allowBlank="1" showInputMessage="1" showErrorMessage="1" xr:uid="{04F762FA-DFF0-4245-82B7-EDAC111443FE}">
          <x14:formula1>
            <xm:f>'Customer List'!$B:$B</xm:f>
          </x14:formula1>
          <xm:sqref>V3:V183</xm:sqref>
        </x14:dataValidation>
        <x14:dataValidation type="list" allowBlank="1" showInputMessage="1" showErrorMessage="1" xr:uid="{A28F16A4-C06A-413E-97E9-D22EB66242CF}">
          <x14:formula1>
            <xm:f>'Customer List'!$C:$C</xm:f>
          </x14:formula1>
          <xm:sqref>W3:W183</xm:sqref>
        </x14:dataValidation>
        <x14:dataValidation type="list" allowBlank="1" showInputMessage="1" showErrorMessage="1" xr:uid="{51424997-2714-49E2-8079-028BF851CB99}">
          <x14:formula1>
            <xm:f>'Approved Vendors'!$B:$B</xm:f>
          </x14:formula1>
          <xm:sqref>AJ3:AJ183 AB3:AB183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BE9FB-C805-4BEF-A02A-0EFFFD2CC93A}">
  <dimension ref="A1:B8"/>
  <sheetViews>
    <sheetView workbookViewId="0">
      <selection activeCell="A8" sqref="A8"/>
    </sheetView>
  </sheetViews>
  <sheetFormatPr defaultRowHeight="15" x14ac:dyDescent="0.25"/>
  <cols>
    <col min="1" max="1" width="30.140625" bestFit="1" customWidth="1"/>
    <col min="2" max="2" width="32.28515625" bestFit="1" customWidth="1"/>
  </cols>
  <sheetData>
    <row r="1" spans="1:2" x14ac:dyDescent="0.25">
      <c r="A1" s="57" t="s">
        <v>120</v>
      </c>
      <c r="B1" s="57" t="s">
        <v>121</v>
      </c>
    </row>
    <row r="2" spans="1:2" x14ac:dyDescent="0.25">
      <c r="A2" s="56" t="s">
        <v>122</v>
      </c>
      <c r="B2" s="56" t="s">
        <v>123</v>
      </c>
    </row>
    <row r="3" spans="1:2" x14ac:dyDescent="0.25">
      <c r="A3" s="56" t="s">
        <v>124</v>
      </c>
      <c r="B3" s="56" t="s">
        <v>123</v>
      </c>
    </row>
    <row r="4" spans="1:2" x14ac:dyDescent="0.25">
      <c r="A4" s="56" t="s">
        <v>125</v>
      </c>
      <c r="B4" s="56" t="s">
        <v>123</v>
      </c>
    </row>
    <row r="5" spans="1:2" x14ac:dyDescent="0.25">
      <c r="A5" s="56" t="s">
        <v>126</v>
      </c>
      <c r="B5" s="56" t="s">
        <v>123</v>
      </c>
    </row>
    <row r="6" spans="1:2" x14ac:dyDescent="0.25">
      <c r="A6" s="56" t="s">
        <v>127</v>
      </c>
      <c r="B6" s="56" t="s">
        <v>128</v>
      </c>
    </row>
    <row r="7" spans="1:2" x14ac:dyDescent="0.25">
      <c r="A7" s="56" t="s">
        <v>129</v>
      </c>
      <c r="B7" s="56" t="s">
        <v>128</v>
      </c>
    </row>
    <row r="8" spans="1:2" x14ac:dyDescent="0.25">
      <c r="A8" s="56" t="s">
        <v>130</v>
      </c>
      <c r="B8" s="56" t="s">
        <v>128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834EF-7B29-4A85-92C6-734C39221784}">
  <dimension ref="A1:AF843"/>
  <sheetViews>
    <sheetView workbookViewId="0">
      <selection activeCell="A6" sqref="A6"/>
    </sheetView>
  </sheetViews>
  <sheetFormatPr defaultRowHeight="15" x14ac:dyDescent="0.25"/>
  <cols>
    <col min="1" max="1" width="26.28515625" customWidth="1"/>
    <col min="2" max="2" width="6.28515625" customWidth="1"/>
    <col min="3" max="3" width="18.7109375" customWidth="1"/>
    <col min="4" max="4" width="6.28515625" customWidth="1"/>
    <col min="5" max="5" width="22.42578125" customWidth="1"/>
    <col min="6" max="6" width="6.28515625" customWidth="1"/>
    <col min="8" max="8" width="6.28515625" customWidth="1"/>
    <col min="9" max="9" width="27.42578125" customWidth="1"/>
    <col min="10" max="10" width="6.28515625" customWidth="1"/>
    <col min="11" max="11" width="17.28515625" customWidth="1"/>
    <col min="12" max="12" width="6.28515625" customWidth="1"/>
    <col min="13" max="13" width="12.7109375" customWidth="1"/>
    <col min="14" max="14" width="6.28515625" customWidth="1"/>
    <col min="15" max="15" width="20.28515625" customWidth="1"/>
    <col min="16" max="16" width="6.28515625" customWidth="1"/>
    <col min="17" max="17" width="20.5703125" customWidth="1"/>
    <col min="18" max="18" width="6.28515625" customWidth="1"/>
    <col min="19" max="19" width="19.28515625" customWidth="1"/>
    <col min="20" max="20" width="6.28515625" customWidth="1"/>
    <col min="21" max="21" width="29.28515625" customWidth="1"/>
    <col min="22" max="22" width="6.28515625" customWidth="1"/>
    <col min="23" max="23" width="17.42578125" customWidth="1"/>
    <col min="24" max="24" width="6.28515625" customWidth="1"/>
    <col min="25" max="25" width="11.7109375" customWidth="1"/>
    <col min="26" max="26" width="6.28515625" customWidth="1"/>
    <col min="27" max="27" width="10.85546875" bestFit="1" customWidth="1"/>
    <col min="28" max="28" width="6.28515625" customWidth="1"/>
    <col min="29" max="29" width="13.85546875" customWidth="1"/>
    <col min="30" max="30" width="6.28515625" customWidth="1"/>
    <col min="31" max="31" width="10.7109375" customWidth="1"/>
    <col min="32" max="32" width="6.28515625" customWidth="1"/>
  </cols>
  <sheetData>
    <row r="1" spans="1:32" ht="15.75" thickBot="1" x14ac:dyDescent="0.3">
      <c r="A1" s="1" t="s">
        <v>8</v>
      </c>
      <c r="B1" s="1"/>
      <c r="C1" s="2" t="s">
        <v>19</v>
      </c>
      <c r="D1" s="1"/>
      <c r="E1" s="2" t="s">
        <v>21</v>
      </c>
      <c r="F1" s="1"/>
      <c r="G1" s="2" t="s">
        <v>13</v>
      </c>
      <c r="H1" s="1"/>
      <c r="I1" s="2" t="s">
        <v>26</v>
      </c>
      <c r="J1" s="1"/>
      <c r="K1" s="2" t="s">
        <v>27</v>
      </c>
      <c r="L1" s="1"/>
      <c r="M1" s="2" t="s">
        <v>131</v>
      </c>
      <c r="N1" s="1"/>
      <c r="O1" s="2" t="s">
        <v>33</v>
      </c>
      <c r="P1" s="1"/>
      <c r="Q1" s="2" t="s">
        <v>35</v>
      </c>
      <c r="R1" s="1"/>
      <c r="S1" s="2" t="s">
        <v>36</v>
      </c>
      <c r="T1" s="1"/>
      <c r="U1" s="2" t="s">
        <v>132</v>
      </c>
      <c r="V1" s="1"/>
      <c r="W1" s="3" t="s">
        <v>4</v>
      </c>
      <c r="X1" s="1"/>
      <c r="Y1" s="14" t="s">
        <v>133</v>
      </c>
      <c r="Z1" s="1"/>
      <c r="AA1" s="14" t="s">
        <v>134</v>
      </c>
      <c r="AB1" s="1"/>
      <c r="AC1" s="14" t="s">
        <v>135</v>
      </c>
      <c r="AD1" s="1"/>
      <c r="AE1" s="14" t="s">
        <v>136</v>
      </c>
      <c r="AF1" s="23"/>
    </row>
    <row r="2" spans="1:32" ht="15.75" thickBot="1" x14ac:dyDescent="0.3">
      <c r="A2" t="s">
        <v>137</v>
      </c>
      <c r="C2" t="s">
        <v>138</v>
      </c>
      <c r="E2" t="s">
        <v>139</v>
      </c>
      <c r="G2" t="s">
        <v>64</v>
      </c>
      <c r="I2" t="s">
        <v>140</v>
      </c>
      <c r="K2" t="s">
        <v>68</v>
      </c>
      <c r="O2" s="17" t="s">
        <v>141</v>
      </c>
      <c r="Q2" t="s">
        <v>142</v>
      </c>
      <c r="S2" t="s">
        <v>143</v>
      </c>
      <c r="U2" s="4" t="s">
        <v>144</v>
      </c>
      <c r="W2" t="s">
        <v>142</v>
      </c>
      <c r="Y2" s="13" t="s">
        <v>145</v>
      </c>
      <c r="AA2" s="5" t="s">
        <v>146</v>
      </c>
      <c r="AC2" s="5" t="s">
        <v>147</v>
      </c>
      <c r="AE2" t="s">
        <v>148</v>
      </c>
    </row>
    <row r="3" spans="1:32" ht="15.75" thickBot="1" x14ac:dyDescent="0.3">
      <c r="A3" t="s">
        <v>149</v>
      </c>
      <c r="C3" t="s">
        <v>150</v>
      </c>
      <c r="E3" t="s">
        <v>83</v>
      </c>
      <c r="G3" t="s">
        <v>116</v>
      </c>
      <c r="I3" t="s">
        <v>140</v>
      </c>
      <c r="K3" t="s">
        <v>151</v>
      </c>
      <c r="O3" s="17" t="s">
        <v>152</v>
      </c>
      <c r="Q3" t="s">
        <v>153</v>
      </c>
      <c r="S3" t="s">
        <v>154</v>
      </c>
      <c r="U3" s="4" t="s">
        <v>155</v>
      </c>
      <c r="W3" t="s">
        <v>153</v>
      </c>
      <c r="Y3" s="13" t="s">
        <v>156</v>
      </c>
      <c r="AA3" s="5" t="s">
        <v>157</v>
      </c>
      <c r="AC3" s="5" t="s">
        <v>158</v>
      </c>
      <c r="AE3" t="s">
        <v>159</v>
      </c>
    </row>
    <row r="4" spans="1:32" ht="15.75" thickBot="1" x14ac:dyDescent="0.3">
      <c r="A4" s="32" t="s">
        <v>82</v>
      </c>
      <c r="C4" t="s">
        <v>160</v>
      </c>
      <c r="E4" t="s">
        <v>161</v>
      </c>
      <c r="G4" t="s">
        <v>112</v>
      </c>
      <c r="I4" t="s">
        <v>140</v>
      </c>
      <c r="K4" t="s">
        <v>162</v>
      </c>
      <c r="O4" s="17" t="s">
        <v>163</v>
      </c>
      <c r="Q4" t="s">
        <v>95</v>
      </c>
      <c r="S4" t="s">
        <v>164</v>
      </c>
      <c r="U4" s="4" t="s">
        <v>165</v>
      </c>
      <c r="W4" t="s">
        <v>95</v>
      </c>
      <c r="Y4" s="13" t="s">
        <v>166</v>
      </c>
      <c r="AA4" s="5" t="s">
        <v>167</v>
      </c>
      <c r="AC4" s="5" t="s">
        <v>168</v>
      </c>
      <c r="AE4" t="s">
        <v>169</v>
      </c>
    </row>
    <row r="5" spans="1:32" ht="15.75" thickBot="1" x14ac:dyDescent="0.3">
      <c r="A5" t="s">
        <v>170</v>
      </c>
      <c r="C5" t="s">
        <v>171</v>
      </c>
      <c r="E5" t="s">
        <v>117</v>
      </c>
      <c r="G5" t="s">
        <v>172</v>
      </c>
      <c r="I5" t="s">
        <v>140</v>
      </c>
      <c r="K5" t="s">
        <v>173</v>
      </c>
      <c r="O5" s="17" t="s">
        <v>174</v>
      </c>
      <c r="Q5" t="s">
        <v>175</v>
      </c>
      <c r="S5" t="s">
        <v>176</v>
      </c>
      <c r="U5" s="4" t="s">
        <v>177</v>
      </c>
      <c r="W5" t="s">
        <v>175</v>
      </c>
      <c r="Y5" s="13" t="s">
        <v>178</v>
      </c>
      <c r="AA5" s="5" t="s">
        <v>179</v>
      </c>
      <c r="AC5" s="5" t="s">
        <v>180</v>
      </c>
      <c r="AE5" t="s">
        <v>181</v>
      </c>
    </row>
    <row r="6" spans="1:32" ht="15.75" thickBot="1" x14ac:dyDescent="0.3">
      <c r="A6" t="s">
        <v>182</v>
      </c>
      <c r="C6" t="s">
        <v>183</v>
      </c>
      <c r="E6" t="s">
        <v>184</v>
      </c>
      <c r="G6" t="s">
        <v>185</v>
      </c>
      <c r="I6" t="s">
        <v>77</v>
      </c>
      <c r="K6" t="s">
        <v>186</v>
      </c>
      <c r="O6" s="17" t="s">
        <v>187</v>
      </c>
      <c r="Q6" t="s">
        <v>188</v>
      </c>
      <c r="S6" t="s">
        <v>189</v>
      </c>
      <c r="U6" s="4" t="s">
        <v>190</v>
      </c>
      <c r="W6" t="s">
        <v>188</v>
      </c>
      <c r="Y6" s="13" t="s">
        <v>191</v>
      </c>
      <c r="AA6" s="5" t="s">
        <v>192</v>
      </c>
      <c r="AC6" s="5" t="s">
        <v>193</v>
      </c>
      <c r="AE6" t="s">
        <v>194</v>
      </c>
    </row>
    <row r="7" spans="1:32" ht="15.75" thickBot="1" x14ac:dyDescent="0.3">
      <c r="A7" t="s">
        <v>195</v>
      </c>
      <c r="C7" t="s">
        <v>100</v>
      </c>
      <c r="E7" t="s">
        <v>196</v>
      </c>
      <c r="G7" t="s">
        <v>197</v>
      </c>
      <c r="I7" t="s">
        <v>198</v>
      </c>
      <c r="K7" t="s">
        <v>199</v>
      </c>
      <c r="O7" s="17" t="s">
        <v>200</v>
      </c>
      <c r="U7" s="4" t="s">
        <v>201</v>
      </c>
      <c r="W7" t="s">
        <v>202</v>
      </c>
      <c r="Y7" s="13" t="s">
        <v>103</v>
      </c>
      <c r="AA7" s="5" t="s">
        <v>203</v>
      </c>
      <c r="AC7" s="5" t="s">
        <v>204</v>
      </c>
      <c r="AE7" t="s">
        <v>205</v>
      </c>
    </row>
    <row r="8" spans="1:32" ht="15.75" thickBot="1" x14ac:dyDescent="0.3">
      <c r="A8" t="s">
        <v>206</v>
      </c>
      <c r="C8" t="s">
        <v>207</v>
      </c>
      <c r="E8" t="s">
        <v>208</v>
      </c>
      <c r="G8" t="s">
        <v>209</v>
      </c>
      <c r="I8" t="s">
        <v>113</v>
      </c>
      <c r="K8" t="s">
        <v>210</v>
      </c>
      <c r="O8" s="17" t="s">
        <v>211</v>
      </c>
      <c r="U8" s="4" t="s">
        <v>212</v>
      </c>
      <c r="W8" t="s">
        <v>71</v>
      </c>
      <c r="Y8" s="13" t="s">
        <v>213</v>
      </c>
      <c r="AA8" s="5" t="s">
        <v>214</v>
      </c>
      <c r="AC8" s="6" t="s">
        <v>215</v>
      </c>
      <c r="AE8" t="s">
        <v>216</v>
      </c>
    </row>
    <row r="9" spans="1:32" ht="15.75" thickBot="1" x14ac:dyDescent="0.3">
      <c r="A9" t="s">
        <v>217</v>
      </c>
      <c r="C9" t="s">
        <v>218</v>
      </c>
      <c r="E9" t="s">
        <v>102</v>
      </c>
      <c r="G9" t="s">
        <v>219</v>
      </c>
      <c r="I9" t="s">
        <v>84</v>
      </c>
      <c r="K9" t="s">
        <v>220</v>
      </c>
      <c r="O9" s="17" t="s">
        <v>221</v>
      </c>
      <c r="U9" s="4" t="s">
        <v>222</v>
      </c>
      <c r="Y9" s="13" t="s">
        <v>223</v>
      </c>
      <c r="AA9" s="5" t="s">
        <v>224</v>
      </c>
      <c r="AC9" s="5" t="s">
        <v>105</v>
      </c>
      <c r="AE9" t="s">
        <v>225</v>
      </c>
    </row>
    <row r="10" spans="1:32" ht="15.75" thickBot="1" x14ac:dyDescent="0.3">
      <c r="A10" t="s">
        <v>79</v>
      </c>
      <c r="C10" t="s">
        <v>65</v>
      </c>
      <c r="G10" t="s">
        <v>226</v>
      </c>
      <c r="I10" t="s">
        <v>227</v>
      </c>
      <c r="K10" t="s">
        <v>228</v>
      </c>
      <c r="O10" s="17" t="s">
        <v>229</v>
      </c>
      <c r="U10" s="4" t="s">
        <v>230</v>
      </c>
      <c r="Y10" s="13" t="s">
        <v>231</v>
      </c>
      <c r="AA10" s="5" t="s">
        <v>232</v>
      </c>
      <c r="AC10" s="5" t="s">
        <v>233</v>
      </c>
      <c r="AE10" t="s">
        <v>234</v>
      </c>
    </row>
    <row r="11" spans="1:32" ht="15.75" thickBot="1" x14ac:dyDescent="0.3">
      <c r="A11" t="s">
        <v>235</v>
      </c>
      <c r="C11" t="s">
        <v>83</v>
      </c>
      <c r="I11" t="s">
        <v>236</v>
      </c>
      <c r="O11" s="17" t="s">
        <v>237</v>
      </c>
      <c r="U11" s="4" t="s">
        <v>238</v>
      </c>
      <c r="Y11" s="13" t="s">
        <v>239</v>
      </c>
      <c r="AA11" s="5" t="s">
        <v>240</v>
      </c>
      <c r="AC11" s="5" t="s">
        <v>241</v>
      </c>
      <c r="AE11" t="s">
        <v>242</v>
      </c>
    </row>
    <row r="12" spans="1:32" ht="15.75" thickBot="1" x14ac:dyDescent="0.3">
      <c r="A12" t="s">
        <v>235</v>
      </c>
      <c r="C12" t="s">
        <v>243</v>
      </c>
      <c r="I12" t="s">
        <v>228</v>
      </c>
      <c r="O12" s="17" t="s">
        <v>244</v>
      </c>
      <c r="U12" s="4" t="s">
        <v>245</v>
      </c>
      <c r="Y12" s="13" t="s">
        <v>246</v>
      </c>
      <c r="AA12" s="6" t="s">
        <v>247</v>
      </c>
      <c r="AC12" s="5" t="s">
        <v>248</v>
      </c>
      <c r="AE12" t="s">
        <v>249</v>
      </c>
    </row>
    <row r="13" spans="1:32" ht="16.5" thickTop="1" thickBot="1" x14ac:dyDescent="0.3">
      <c r="A13" t="s">
        <v>250</v>
      </c>
      <c r="C13" t="s">
        <v>251</v>
      </c>
      <c r="I13" t="s">
        <v>252</v>
      </c>
      <c r="O13" s="17" t="s">
        <v>253</v>
      </c>
      <c r="U13" s="4" t="s">
        <v>254</v>
      </c>
      <c r="Y13" s="13" t="s">
        <v>255</v>
      </c>
      <c r="AA13" s="5" t="s">
        <v>256</v>
      </c>
      <c r="AC13" s="5" t="s">
        <v>257</v>
      </c>
      <c r="AE13" t="s">
        <v>258</v>
      </c>
    </row>
    <row r="14" spans="1:32" ht="15.75" thickBot="1" x14ac:dyDescent="0.3">
      <c r="A14" t="s">
        <v>259</v>
      </c>
      <c r="I14" t="s">
        <v>94</v>
      </c>
      <c r="O14" s="17" t="s">
        <v>260</v>
      </c>
      <c r="U14" s="4" t="s">
        <v>261</v>
      </c>
      <c r="Y14" s="13" t="s">
        <v>262</v>
      </c>
      <c r="AA14" s="5" t="s">
        <v>263</v>
      </c>
      <c r="AC14" s="5" t="s">
        <v>264</v>
      </c>
      <c r="AE14" t="s">
        <v>265</v>
      </c>
    </row>
    <row r="15" spans="1:32" ht="15.75" thickBot="1" x14ac:dyDescent="0.3">
      <c r="A15" t="s">
        <v>266</v>
      </c>
      <c r="I15" t="s">
        <v>267</v>
      </c>
      <c r="O15" s="17" t="s">
        <v>268</v>
      </c>
      <c r="U15" s="4" t="s">
        <v>269</v>
      </c>
      <c r="Y15" s="13" t="s">
        <v>270</v>
      </c>
      <c r="AA15" s="5" t="s">
        <v>271</v>
      </c>
      <c r="AC15" s="5" t="s">
        <v>272</v>
      </c>
      <c r="AE15" t="s">
        <v>273</v>
      </c>
    </row>
    <row r="16" spans="1:32" ht="15.75" thickBot="1" x14ac:dyDescent="0.3">
      <c r="A16" t="s">
        <v>274</v>
      </c>
      <c r="I16" t="s">
        <v>275</v>
      </c>
      <c r="O16" s="17" t="s">
        <v>276</v>
      </c>
      <c r="U16" s="4" t="s">
        <v>277</v>
      </c>
      <c r="Y16" s="13" t="s">
        <v>278</v>
      </c>
      <c r="AA16" s="5" t="s">
        <v>279</v>
      </c>
      <c r="AC16" s="5" t="s">
        <v>280</v>
      </c>
      <c r="AE16" t="s">
        <v>281</v>
      </c>
    </row>
    <row r="17" spans="1:31" ht="15.75" thickBot="1" x14ac:dyDescent="0.3">
      <c r="A17" t="s">
        <v>99</v>
      </c>
      <c r="O17" s="17" t="s">
        <v>282</v>
      </c>
      <c r="U17" s="4" t="s">
        <v>283</v>
      </c>
      <c r="Y17" s="13" t="s">
        <v>284</v>
      </c>
      <c r="AA17" s="5" t="s">
        <v>285</v>
      </c>
      <c r="AC17" s="5" t="s">
        <v>286</v>
      </c>
      <c r="AE17" t="s">
        <v>287</v>
      </c>
    </row>
    <row r="18" spans="1:31" ht="15.75" thickBot="1" x14ac:dyDescent="0.3">
      <c r="A18" t="s">
        <v>288</v>
      </c>
      <c r="O18" s="17" t="s">
        <v>289</v>
      </c>
      <c r="U18" s="4" t="s">
        <v>290</v>
      </c>
      <c r="Y18" s="13" t="s">
        <v>291</v>
      </c>
      <c r="AA18" s="5" t="s">
        <v>292</v>
      </c>
      <c r="AC18" s="5" t="s">
        <v>293</v>
      </c>
      <c r="AE18" t="s">
        <v>294</v>
      </c>
    </row>
    <row r="19" spans="1:31" ht="15.75" thickBot="1" x14ac:dyDescent="0.3">
      <c r="A19" t="s">
        <v>295</v>
      </c>
      <c r="O19" s="17" t="s">
        <v>296</v>
      </c>
      <c r="U19" s="4" t="s">
        <v>297</v>
      </c>
      <c r="Y19" s="13" t="s">
        <v>298</v>
      </c>
      <c r="AA19" s="5" t="s">
        <v>299</v>
      </c>
      <c r="AC19" s="5" t="s">
        <v>300</v>
      </c>
      <c r="AE19" t="s">
        <v>301</v>
      </c>
    </row>
    <row r="20" spans="1:31" ht="15.75" thickBot="1" x14ac:dyDescent="0.3">
      <c r="A20" t="s">
        <v>302</v>
      </c>
      <c r="O20" s="17" t="s">
        <v>303</v>
      </c>
      <c r="U20" s="4" t="s">
        <v>304</v>
      </c>
      <c r="Y20" s="13" t="s">
        <v>305</v>
      </c>
      <c r="AA20" s="6" t="s">
        <v>306</v>
      </c>
      <c r="AC20" s="5" t="s">
        <v>307</v>
      </c>
      <c r="AE20" t="s">
        <v>308</v>
      </c>
    </row>
    <row r="21" spans="1:31" ht="16.5" thickTop="1" thickBot="1" x14ac:dyDescent="0.3">
      <c r="A21" t="s">
        <v>309</v>
      </c>
      <c r="O21" s="17" t="s">
        <v>310</v>
      </c>
      <c r="U21" s="4" t="s">
        <v>311</v>
      </c>
      <c r="Y21" s="13" t="s">
        <v>312</v>
      </c>
      <c r="AA21" s="5" t="s">
        <v>313</v>
      </c>
      <c r="AC21" s="6" t="s">
        <v>314</v>
      </c>
      <c r="AE21" t="s">
        <v>315</v>
      </c>
    </row>
    <row r="22" spans="1:31" ht="15.75" thickBot="1" x14ac:dyDescent="0.3">
      <c r="A22" t="s">
        <v>316</v>
      </c>
      <c r="O22" s="17" t="s">
        <v>317</v>
      </c>
      <c r="U22" s="4" t="s">
        <v>318</v>
      </c>
      <c r="Y22" s="13" t="s">
        <v>319</v>
      </c>
      <c r="AA22" s="5" t="s">
        <v>320</v>
      </c>
      <c r="AC22" s="5" t="s">
        <v>321</v>
      </c>
      <c r="AE22" t="s">
        <v>322</v>
      </c>
    </row>
    <row r="23" spans="1:31" ht="15.75" thickBot="1" x14ac:dyDescent="0.3">
      <c r="A23" t="s">
        <v>323</v>
      </c>
      <c r="O23" s="17" t="s">
        <v>324</v>
      </c>
      <c r="U23" s="4" t="s">
        <v>325</v>
      </c>
      <c r="Y23" s="13" t="s">
        <v>326</v>
      </c>
      <c r="AA23" s="5" t="s">
        <v>327</v>
      </c>
      <c r="AC23" s="5" t="s">
        <v>328</v>
      </c>
      <c r="AE23" t="s">
        <v>329</v>
      </c>
    </row>
    <row r="24" spans="1:31" ht="15.75" thickBot="1" x14ac:dyDescent="0.3">
      <c r="A24" t="s">
        <v>330</v>
      </c>
      <c r="O24" s="17" t="s">
        <v>331</v>
      </c>
      <c r="U24" s="4" t="s">
        <v>332</v>
      </c>
      <c r="Y24" s="13" t="s">
        <v>333</v>
      </c>
      <c r="AA24" s="5" t="s">
        <v>334</v>
      </c>
      <c r="AC24" s="5" t="s">
        <v>335</v>
      </c>
      <c r="AE24" t="s">
        <v>336</v>
      </c>
    </row>
    <row r="25" spans="1:31" ht="15.75" thickBot="1" x14ac:dyDescent="0.3">
      <c r="A25" t="s">
        <v>61</v>
      </c>
      <c r="O25" s="17" t="s">
        <v>337</v>
      </c>
      <c r="U25" s="4" t="s">
        <v>338</v>
      </c>
      <c r="Y25" s="13" t="s">
        <v>339</v>
      </c>
      <c r="AA25" s="5" t="s">
        <v>340</v>
      </c>
      <c r="AC25" s="5" t="s">
        <v>341</v>
      </c>
      <c r="AE25" t="s">
        <v>342</v>
      </c>
    </row>
    <row r="26" spans="1:31" ht="15.75" thickBot="1" x14ac:dyDescent="0.3">
      <c r="A26" t="s">
        <v>343</v>
      </c>
      <c r="O26" s="17" t="s">
        <v>344</v>
      </c>
      <c r="U26" s="4" t="s">
        <v>345</v>
      </c>
      <c r="Y26" s="13" t="s">
        <v>346</v>
      </c>
      <c r="AA26" s="5" t="s">
        <v>347</v>
      </c>
      <c r="AC26" s="5" t="s">
        <v>348</v>
      </c>
      <c r="AE26" t="s">
        <v>349</v>
      </c>
    </row>
    <row r="27" spans="1:31" ht="15.75" thickBot="1" x14ac:dyDescent="0.3">
      <c r="A27" t="s">
        <v>81</v>
      </c>
      <c r="O27" s="17" t="s">
        <v>350</v>
      </c>
      <c r="U27" s="4" t="s">
        <v>351</v>
      </c>
      <c r="Y27" s="13" t="s">
        <v>352</v>
      </c>
      <c r="AA27" s="5" t="s">
        <v>104</v>
      </c>
      <c r="AC27" s="6" t="s">
        <v>353</v>
      </c>
      <c r="AE27" t="s">
        <v>354</v>
      </c>
    </row>
    <row r="28" spans="1:31" ht="15.75" thickBot="1" x14ac:dyDescent="0.3">
      <c r="A28" s="32" t="s">
        <v>90</v>
      </c>
      <c r="O28" s="17" t="s">
        <v>355</v>
      </c>
      <c r="U28" s="4" t="s">
        <v>356</v>
      </c>
      <c r="Y28" s="13" t="s">
        <v>357</v>
      </c>
      <c r="AA28" s="5" t="s">
        <v>358</v>
      </c>
      <c r="AC28" s="6" t="s">
        <v>359</v>
      </c>
      <c r="AE28" t="s">
        <v>360</v>
      </c>
    </row>
    <row r="29" spans="1:31" ht="15.75" thickBot="1" x14ac:dyDescent="0.3">
      <c r="A29" s="32" t="s">
        <v>361</v>
      </c>
      <c r="O29" s="17" t="s">
        <v>362</v>
      </c>
      <c r="U29" s="4" t="s">
        <v>363</v>
      </c>
      <c r="Y29" s="13" t="s">
        <v>364</v>
      </c>
      <c r="AA29" s="5" t="s">
        <v>365</v>
      </c>
      <c r="AE29" t="s">
        <v>366</v>
      </c>
    </row>
    <row r="30" spans="1:31" ht="15.75" thickBot="1" x14ac:dyDescent="0.3">
      <c r="A30" t="s">
        <v>107</v>
      </c>
      <c r="O30" s="17" t="s">
        <v>367</v>
      </c>
      <c r="U30" s="4" t="s">
        <v>368</v>
      </c>
      <c r="Y30" s="13" t="s">
        <v>369</v>
      </c>
      <c r="AA30" s="6" t="s">
        <v>370</v>
      </c>
      <c r="AE30" t="s">
        <v>371</v>
      </c>
    </row>
    <row r="31" spans="1:31" ht="16.5" thickTop="1" thickBot="1" x14ac:dyDescent="0.3">
      <c r="A31" t="s">
        <v>108</v>
      </c>
      <c r="O31" s="17" t="s">
        <v>372</v>
      </c>
      <c r="U31" s="4" t="s">
        <v>373</v>
      </c>
      <c r="Y31" s="13" t="s">
        <v>374</v>
      </c>
      <c r="AA31" s="5" t="s">
        <v>375</v>
      </c>
      <c r="AE31" t="s">
        <v>376</v>
      </c>
    </row>
    <row r="32" spans="1:31" ht="15.75" thickBot="1" x14ac:dyDescent="0.3">
      <c r="O32" s="17" t="s">
        <v>377</v>
      </c>
      <c r="U32" s="4" t="s">
        <v>378</v>
      </c>
      <c r="Y32" s="13" t="s">
        <v>379</v>
      </c>
      <c r="AA32" s="5" t="s">
        <v>380</v>
      </c>
      <c r="AE32" t="s">
        <v>381</v>
      </c>
    </row>
    <row r="33" spans="15:31" ht="15.75" thickBot="1" x14ac:dyDescent="0.3">
      <c r="O33" s="17" t="s">
        <v>382</v>
      </c>
      <c r="U33" s="4" t="s">
        <v>383</v>
      </c>
      <c r="Y33" s="13" t="s">
        <v>384</v>
      </c>
      <c r="AA33" s="5" t="s">
        <v>385</v>
      </c>
      <c r="AE33" t="s">
        <v>386</v>
      </c>
    </row>
    <row r="34" spans="15:31" ht="15.75" thickBot="1" x14ac:dyDescent="0.3">
      <c r="O34" s="17" t="s">
        <v>387</v>
      </c>
      <c r="U34" s="4" t="s">
        <v>388</v>
      </c>
      <c r="Y34" s="13" t="s">
        <v>389</v>
      </c>
      <c r="AA34" s="5" t="s">
        <v>390</v>
      </c>
      <c r="AE34" t="s">
        <v>391</v>
      </c>
    </row>
    <row r="35" spans="15:31" ht="15.75" thickBot="1" x14ac:dyDescent="0.3">
      <c r="O35" s="17" t="s">
        <v>392</v>
      </c>
      <c r="U35" s="4" t="s">
        <v>393</v>
      </c>
      <c r="Y35" s="13" t="s">
        <v>394</v>
      </c>
      <c r="AA35" s="5" t="s">
        <v>395</v>
      </c>
      <c r="AE35" t="s">
        <v>396</v>
      </c>
    </row>
    <row r="36" spans="15:31" ht="15.75" thickBot="1" x14ac:dyDescent="0.3">
      <c r="O36" s="17" t="s">
        <v>397</v>
      </c>
      <c r="U36" s="4" t="s">
        <v>398</v>
      </c>
      <c r="Y36" s="13" t="s">
        <v>399</v>
      </c>
      <c r="AA36" s="6" t="s">
        <v>400</v>
      </c>
      <c r="AE36" t="s">
        <v>401</v>
      </c>
    </row>
    <row r="37" spans="15:31" ht="16.5" thickTop="1" thickBot="1" x14ac:dyDescent="0.3">
      <c r="O37" s="17" t="s">
        <v>402</v>
      </c>
      <c r="U37" s="4" t="s">
        <v>403</v>
      </c>
      <c r="Y37" s="13" t="s">
        <v>404</v>
      </c>
      <c r="AA37" s="5" t="s">
        <v>405</v>
      </c>
      <c r="AE37" t="s">
        <v>406</v>
      </c>
    </row>
    <row r="38" spans="15:31" ht="15.75" thickBot="1" x14ac:dyDescent="0.3">
      <c r="O38" s="17" t="s">
        <v>407</v>
      </c>
      <c r="U38" s="4" t="s">
        <v>408</v>
      </c>
      <c r="Y38" s="13" t="s">
        <v>409</v>
      </c>
      <c r="AA38" s="5" t="s">
        <v>410</v>
      </c>
      <c r="AE38" t="s">
        <v>411</v>
      </c>
    </row>
    <row r="39" spans="15:31" ht="15.75" thickBot="1" x14ac:dyDescent="0.3">
      <c r="O39" s="17" t="s">
        <v>412</v>
      </c>
      <c r="U39" s="4" t="s">
        <v>413</v>
      </c>
      <c r="Y39" s="13" t="s">
        <v>414</v>
      </c>
      <c r="AA39" s="5" t="s">
        <v>415</v>
      </c>
      <c r="AE39" t="s">
        <v>416</v>
      </c>
    </row>
    <row r="40" spans="15:31" ht="15.75" thickBot="1" x14ac:dyDescent="0.3">
      <c r="O40" s="17" t="s">
        <v>417</v>
      </c>
      <c r="U40" s="4" t="s">
        <v>418</v>
      </c>
      <c r="Y40" s="13" t="s">
        <v>419</v>
      </c>
      <c r="AA40" s="5" t="s">
        <v>420</v>
      </c>
      <c r="AE40" t="s">
        <v>421</v>
      </c>
    </row>
    <row r="41" spans="15:31" ht="15.75" thickBot="1" x14ac:dyDescent="0.3">
      <c r="O41" s="17" t="s">
        <v>422</v>
      </c>
      <c r="U41" s="4" t="s">
        <v>423</v>
      </c>
      <c r="Y41" s="13" t="s">
        <v>424</v>
      </c>
      <c r="AA41" s="6" t="s">
        <v>425</v>
      </c>
      <c r="AE41" t="s">
        <v>426</v>
      </c>
    </row>
    <row r="42" spans="15:31" ht="16.5" thickTop="1" thickBot="1" x14ac:dyDescent="0.3">
      <c r="O42" s="17" t="s">
        <v>427</v>
      </c>
      <c r="U42" s="4" t="s">
        <v>428</v>
      </c>
      <c r="Y42" s="13" t="s">
        <v>429</v>
      </c>
      <c r="AA42" s="5" t="s">
        <v>430</v>
      </c>
      <c r="AE42" t="s">
        <v>431</v>
      </c>
    </row>
    <row r="43" spans="15:31" ht="15.75" thickBot="1" x14ac:dyDescent="0.3">
      <c r="O43" s="17" t="s">
        <v>75</v>
      </c>
      <c r="U43" s="4" t="s">
        <v>432</v>
      </c>
      <c r="Y43" s="13" t="s">
        <v>433</v>
      </c>
      <c r="AA43" s="5" t="s">
        <v>434</v>
      </c>
      <c r="AE43" t="s">
        <v>435</v>
      </c>
    </row>
    <row r="44" spans="15:31" ht="15.75" thickBot="1" x14ac:dyDescent="0.3">
      <c r="O44" s="17" t="s">
        <v>436</v>
      </c>
      <c r="U44" s="4" t="s">
        <v>437</v>
      </c>
      <c r="Y44" s="13" t="s">
        <v>438</v>
      </c>
      <c r="AA44" s="5" t="s">
        <v>439</v>
      </c>
      <c r="AE44" t="s">
        <v>440</v>
      </c>
    </row>
    <row r="45" spans="15:31" ht="15.75" thickBot="1" x14ac:dyDescent="0.3">
      <c r="O45" s="17" t="s">
        <v>441</v>
      </c>
      <c r="U45" s="4" t="s">
        <v>442</v>
      </c>
      <c r="Y45" s="13" t="s">
        <v>443</v>
      </c>
      <c r="AA45" s="5" t="s">
        <v>444</v>
      </c>
      <c r="AE45" t="s">
        <v>445</v>
      </c>
    </row>
    <row r="46" spans="15:31" ht="15.75" thickBot="1" x14ac:dyDescent="0.3">
      <c r="O46" s="17" t="s">
        <v>446</v>
      </c>
      <c r="U46" s="4" t="s">
        <v>447</v>
      </c>
      <c r="Y46" s="13" t="s">
        <v>448</v>
      </c>
      <c r="AA46" s="5" t="s">
        <v>449</v>
      </c>
      <c r="AE46" t="s">
        <v>450</v>
      </c>
    </row>
    <row r="47" spans="15:31" ht="15.75" thickBot="1" x14ac:dyDescent="0.3">
      <c r="O47" s="17" t="s">
        <v>451</v>
      </c>
      <c r="U47" s="4" t="s">
        <v>452</v>
      </c>
      <c r="Y47" s="13" t="s">
        <v>453</v>
      </c>
      <c r="AA47" s="6" t="s">
        <v>454</v>
      </c>
      <c r="AE47" t="s">
        <v>455</v>
      </c>
    </row>
    <row r="48" spans="15:31" ht="16.5" thickTop="1" thickBot="1" x14ac:dyDescent="0.3">
      <c r="O48" s="17" t="s">
        <v>456</v>
      </c>
      <c r="U48" s="4" t="s">
        <v>457</v>
      </c>
      <c r="Y48" s="13" t="s">
        <v>458</v>
      </c>
      <c r="AA48" s="5" t="s">
        <v>459</v>
      </c>
      <c r="AE48" t="s">
        <v>460</v>
      </c>
    </row>
    <row r="49" spans="15:31" ht="15.75" thickBot="1" x14ac:dyDescent="0.3">
      <c r="O49" s="17" t="s">
        <v>461</v>
      </c>
      <c r="U49" s="4" t="s">
        <v>462</v>
      </c>
      <c r="Y49" s="13" t="s">
        <v>463</v>
      </c>
      <c r="AA49" s="5" t="s">
        <v>464</v>
      </c>
      <c r="AE49" t="s">
        <v>465</v>
      </c>
    </row>
    <row r="50" spans="15:31" ht="15.75" thickBot="1" x14ac:dyDescent="0.3">
      <c r="O50" s="17" t="s">
        <v>466</v>
      </c>
      <c r="U50" s="4" t="s">
        <v>467</v>
      </c>
      <c r="Y50" s="13" t="s">
        <v>468</v>
      </c>
      <c r="AA50" s="5" t="s">
        <v>469</v>
      </c>
      <c r="AE50" t="s">
        <v>470</v>
      </c>
    </row>
    <row r="51" spans="15:31" ht="15.75" thickBot="1" x14ac:dyDescent="0.3">
      <c r="O51" s="17" t="s">
        <v>471</v>
      </c>
      <c r="U51" s="4" t="s">
        <v>472</v>
      </c>
      <c r="Y51" s="13" t="s">
        <v>473</v>
      </c>
      <c r="AA51" s="6" t="s">
        <v>474</v>
      </c>
      <c r="AE51" t="s">
        <v>475</v>
      </c>
    </row>
    <row r="52" spans="15:31" ht="15.75" thickTop="1" x14ac:dyDescent="0.25">
      <c r="Y52" s="13" t="s">
        <v>476</v>
      </c>
      <c r="AE52" t="s">
        <v>477</v>
      </c>
    </row>
    <row r="53" spans="15:31" x14ac:dyDescent="0.25">
      <c r="Y53" s="13" t="s">
        <v>478</v>
      </c>
      <c r="AE53" t="s">
        <v>479</v>
      </c>
    </row>
    <row r="54" spans="15:31" x14ac:dyDescent="0.25">
      <c r="AE54" t="s">
        <v>480</v>
      </c>
    </row>
    <row r="55" spans="15:31" x14ac:dyDescent="0.25">
      <c r="AE55" t="s">
        <v>481</v>
      </c>
    </row>
    <row r="56" spans="15:31" x14ac:dyDescent="0.25">
      <c r="AE56" t="s">
        <v>482</v>
      </c>
    </row>
    <row r="57" spans="15:31" x14ac:dyDescent="0.25">
      <c r="AE57" t="s">
        <v>483</v>
      </c>
    </row>
    <row r="58" spans="15:31" x14ac:dyDescent="0.25">
      <c r="AE58" t="s">
        <v>484</v>
      </c>
    </row>
    <row r="59" spans="15:31" x14ac:dyDescent="0.25">
      <c r="AE59" t="s">
        <v>485</v>
      </c>
    </row>
    <row r="60" spans="15:31" x14ac:dyDescent="0.25">
      <c r="AE60" t="s">
        <v>486</v>
      </c>
    </row>
    <row r="61" spans="15:31" x14ac:dyDescent="0.25">
      <c r="AE61" t="s">
        <v>487</v>
      </c>
    </row>
    <row r="62" spans="15:31" x14ac:dyDescent="0.25">
      <c r="AE62" t="s">
        <v>488</v>
      </c>
    </row>
    <row r="63" spans="15:31" x14ac:dyDescent="0.25">
      <c r="AE63" t="s">
        <v>489</v>
      </c>
    </row>
    <row r="64" spans="15:31" x14ac:dyDescent="0.25">
      <c r="AE64" t="s">
        <v>490</v>
      </c>
    </row>
    <row r="65" spans="31:31" x14ac:dyDescent="0.25">
      <c r="AE65" t="s">
        <v>491</v>
      </c>
    </row>
    <row r="66" spans="31:31" x14ac:dyDescent="0.25">
      <c r="AE66" t="s">
        <v>492</v>
      </c>
    </row>
    <row r="67" spans="31:31" x14ac:dyDescent="0.25">
      <c r="AE67" t="s">
        <v>493</v>
      </c>
    </row>
    <row r="68" spans="31:31" x14ac:dyDescent="0.25">
      <c r="AE68" t="s">
        <v>494</v>
      </c>
    </row>
    <row r="69" spans="31:31" x14ac:dyDescent="0.25">
      <c r="AE69" t="s">
        <v>495</v>
      </c>
    </row>
    <row r="70" spans="31:31" x14ac:dyDescent="0.25">
      <c r="AE70" t="s">
        <v>496</v>
      </c>
    </row>
    <row r="71" spans="31:31" x14ac:dyDescent="0.25">
      <c r="AE71" t="s">
        <v>497</v>
      </c>
    </row>
    <row r="72" spans="31:31" x14ac:dyDescent="0.25">
      <c r="AE72" t="s">
        <v>498</v>
      </c>
    </row>
    <row r="73" spans="31:31" x14ac:dyDescent="0.25">
      <c r="AE73" t="s">
        <v>499</v>
      </c>
    </row>
    <row r="74" spans="31:31" x14ac:dyDescent="0.25">
      <c r="AE74" t="s">
        <v>500</v>
      </c>
    </row>
    <row r="75" spans="31:31" x14ac:dyDescent="0.25">
      <c r="AE75" t="s">
        <v>501</v>
      </c>
    </row>
    <row r="76" spans="31:31" x14ac:dyDescent="0.25">
      <c r="AE76" t="s">
        <v>502</v>
      </c>
    </row>
    <row r="77" spans="31:31" x14ac:dyDescent="0.25">
      <c r="AE77" t="s">
        <v>503</v>
      </c>
    </row>
    <row r="78" spans="31:31" x14ac:dyDescent="0.25">
      <c r="AE78" t="s">
        <v>504</v>
      </c>
    </row>
    <row r="79" spans="31:31" x14ac:dyDescent="0.25">
      <c r="AE79" t="s">
        <v>505</v>
      </c>
    </row>
    <row r="80" spans="31:31" x14ac:dyDescent="0.25">
      <c r="AE80" t="s">
        <v>506</v>
      </c>
    </row>
    <row r="81" spans="31:31" x14ac:dyDescent="0.25">
      <c r="AE81" t="s">
        <v>507</v>
      </c>
    </row>
    <row r="82" spans="31:31" x14ac:dyDescent="0.25">
      <c r="AE82" t="s">
        <v>508</v>
      </c>
    </row>
    <row r="83" spans="31:31" x14ac:dyDescent="0.25">
      <c r="AE83" t="s">
        <v>509</v>
      </c>
    </row>
    <row r="84" spans="31:31" x14ac:dyDescent="0.25">
      <c r="AE84" t="s">
        <v>510</v>
      </c>
    </row>
    <row r="85" spans="31:31" x14ac:dyDescent="0.25">
      <c r="AE85" t="s">
        <v>511</v>
      </c>
    </row>
    <row r="86" spans="31:31" x14ac:dyDescent="0.25">
      <c r="AE86" t="s">
        <v>512</v>
      </c>
    </row>
    <row r="87" spans="31:31" x14ac:dyDescent="0.25">
      <c r="AE87" t="s">
        <v>513</v>
      </c>
    </row>
    <row r="88" spans="31:31" x14ac:dyDescent="0.25">
      <c r="AE88" t="s">
        <v>514</v>
      </c>
    </row>
    <row r="89" spans="31:31" x14ac:dyDescent="0.25">
      <c r="AE89" t="s">
        <v>515</v>
      </c>
    </row>
    <row r="90" spans="31:31" x14ac:dyDescent="0.25">
      <c r="AE90" t="s">
        <v>516</v>
      </c>
    </row>
    <row r="91" spans="31:31" x14ac:dyDescent="0.25">
      <c r="AE91" t="s">
        <v>517</v>
      </c>
    </row>
    <row r="92" spans="31:31" x14ac:dyDescent="0.25">
      <c r="AE92" t="s">
        <v>518</v>
      </c>
    </row>
    <row r="93" spans="31:31" x14ac:dyDescent="0.25">
      <c r="AE93" t="s">
        <v>519</v>
      </c>
    </row>
    <row r="94" spans="31:31" x14ac:dyDescent="0.25">
      <c r="AE94" t="s">
        <v>520</v>
      </c>
    </row>
    <row r="95" spans="31:31" x14ac:dyDescent="0.25">
      <c r="AE95" t="s">
        <v>521</v>
      </c>
    </row>
    <row r="96" spans="31:31" x14ac:dyDescent="0.25">
      <c r="AE96" t="s">
        <v>522</v>
      </c>
    </row>
    <row r="97" spans="31:31" x14ac:dyDescent="0.25">
      <c r="AE97" t="s">
        <v>523</v>
      </c>
    </row>
    <row r="98" spans="31:31" x14ac:dyDescent="0.25">
      <c r="AE98" t="s">
        <v>524</v>
      </c>
    </row>
    <row r="99" spans="31:31" x14ac:dyDescent="0.25">
      <c r="AE99" t="s">
        <v>525</v>
      </c>
    </row>
    <row r="100" spans="31:31" x14ac:dyDescent="0.25">
      <c r="AE100" t="s">
        <v>526</v>
      </c>
    </row>
    <row r="101" spans="31:31" x14ac:dyDescent="0.25">
      <c r="AE101" t="s">
        <v>527</v>
      </c>
    </row>
    <row r="102" spans="31:31" x14ac:dyDescent="0.25">
      <c r="AE102" t="s">
        <v>528</v>
      </c>
    </row>
    <row r="103" spans="31:31" x14ac:dyDescent="0.25">
      <c r="AE103" t="s">
        <v>529</v>
      </c>
    </row>
    <row r="104" spans="31:31" x14ac:dyDescent="0.25">
      <c r="AE104" t="s">
        <v>530</v>
      </c>
    </row>
    <row r="105" spans="31:31" x14ac:dyDescent="0.25">
      <c r="AE105" t="s">
        <v>531</v>
      </c>
    </row>
    <row r="106" spans="31:31" x14ac:dyDescent="0.25">
      <c r="AE106" t="s">
        <v>532</v>
      </c>
    </row>
    <row r="107" spans="31:31" x14ac:dyDescent="0.25">
      <c r="AE107" t="s">
        <v>533</v>
      </c>
    </row>
    <row r="108" spans="31:31" x14ac:dyDescent="0.25">
      <c r="AE108" t="s">
        <v>534</v>
      </c>
    </row>
    <row r="109" spans="31:31" x14ac:dyDescent="0.25">
      <c r="AE109" t="s">
        <v>535</v>
      </c>
    </row>
    <row r="110" spans="31:31" x14ac:dyDescent="0.25">
      <c r="AE110" t="s">
        <v>536</v>
      </c>
    </row>
    <row r="111" spans="31:31" x14ac:dyDescent="0.25">
      <c r="AE111" t="s">
        <v>537</v>
      </c>
    </row>
    <row r="112" spans="31:31" x14ac:dyDescent="0.25">
      <c r="AE112" t="s">
        <v>538</v>
      </c>
    </row>
    <row r="113" spans="31:31" x14ac:dyDescent="0.25">
      <c r="AE113" t="s">
        <v>539</v>
      </c>
    </row>
    <row r="114" spans="31:31" x14ac:dyDescent="0.25">
      <c r="AE114" t="s">
        <v>540</v>
      </c>
    </row>
    <row r="115" spans="31:31" x14ac:dyDescent="0.25">
      <c r="AE115" t="s">
        <v>541</v>
      </c>
    </row>
    <row r="116" spans="31:31" x14ac:dyDescent="0.25">
      <c r="AE116" t="s">
        <v>542</v>
      </c>
    </row>
    <row r="117" spans="31:31" x14ac:dyDescent="0.25">
      <c r="AE117" t="s">
        <v>543</v>
      </c>
    </row>
    <row r="118" spans="31:31" x14ac:dyDescent="0.25">
      <c r="AE118" t="s">
        <v>544</v>
      </c>
    </row>
    <row r="119" spans="31:31" x14ac:dyDescent="0.25">
      <c r="AE119" t="s">
        <v>545</v>
      </c>
    </row>
    <row r="120" spans="31:31" x14ac:dyDescent="0.25">
      <c r="AE120" t="s">
        <v>546</v>
      </c>
    </row>
    <row r="121" spans="31:31" x14ac:dyDescent="0.25">
      <c r="AE121" t="s">
        <v>547</v>
      </c>
    </row>
    <row r="122" spans="31:31" x14ac:dyDescent="0.25">
      <c r="AE122" t="s">
        <v>548</v>
      </c>
    </row>
    <row r="123" spans="31:31" x14ac:dyDescent="0.25">
      <c r="AE123" t="s">
        <v>549</v>
      </c>
    </row>
    <row r="124" spans="31:31" x14ac:dyDescent="0.25">
      <c r="AE124" t="s">
        <v>550</v>
      </c>
    </row>
    <row r="125" spans="31:31" x14ac:dyDescent="0.25">
      <c r="AE125" t="s">
        <v>551</v>
      </c>
    </row>
    <row r="126" spans="31:31" x14ac:dyDescent="0.25">
      <c r="AE126" t="s">
        <v>552</v>
      </c>
    </row>
    <row r="127" spans="31:31" x14ac:dyDescent="0.25">
      <c r="AE127" t="s">
        <v>553</v>
      </c>
    </row>
    <row r="128" spans="31:31" x14ac:dyDescent="0.25">
      <c r="AE128" t="s">
        <v>554</v>
      </c>
    </row>
    <row r="129" spans="31:31" x14ac:dyDescent="0.25">
      <c r="AE129" t="s">
        <v>555</v>
      </c>
    </row>
    <row r="130" spans="31:31" x14ac:dyDescent="0.25">
      <c r="AE130" t="s">
        <v>556</v>
      </c>
    </row>
    <row r="131" spans="31:31" x14ac:dyDescent="0.25">
      <c r="AE131" t="s">
        <v>557</v>
      </c>
    </row>
    <row r="132" spans="31:31" x14ac:dyDescent="0.25">
      <c r="AE132" t="s">
        <v>558</v>
      </c>
    </row>
    <row r="133" spans="31:31" x14ac:dyDescent="0.25">
      <c r="AE133" t="s">
        <v>559</v>
      </c>
    </row>
    <row r="134" spans="31:31" x14ac:dyDescent="0.25">
      <c r="AE134" t="s">
        <v>560</v>
      </c>
    </row>
    <row r="135" spans="31:31" x14ac:dyDescent="0.25">
      <c r="AE135" t="s">
        <v>561</v>
      </c>
    </row>
    <row r="136" spans="31:31" x14ac:dyDescent="0.25">
      <c r="AE136" t="s">
        <v>562</v>
      </c>
    </row>
    <row r="137" spans="31:31" x14ac:dyDescent="0.25">
      <c r="AE137" t="s">
        <v>563</v>
      </c>
    </row>
    <row r="138" spans="31:31" x14ac:dyDescent="0.25">
      <c r="AE138" t="s">
        <v>564</v>
      </c>
    </row>
    <row r="139" spans="31:31" x14ac:dyDescent="0.25">
      <c r="AE139" t="s">
        <v>565</v>
      </c>
    </row>
    <row r="140" spans="31:31" x14ac:dyDescent="0.25">
      <c r="AE140" t="s">
        <v>566</v>
      </c>
    </row>
    <row r="141" spans="31:31" x14ac:dyDescent="0.25">
      <c r="AE141" t="s">
        <v>567</v>
      </c>
    </row>
    <row r="142" spans="31:31" x14ac:dyDescent="0.25">
      <c r="AE142" t="s">
        <v>568</v>
      </c>
    </row>
    <row r="143" spans="31:31" x14ac:dyDescent="0.25">
      <c r="AE143" t="s">
        <v>569</v>
      </c>
    </row>
    <row r="144" spans="31:31" x14ac:dyDescent="0.25">
      <c r="AE144" t="s">
        <v>570</v>
      </c>
    </row>
    <row r="145" spans="31:31" x14ac:dyDescent="0.25">
      <c r="AE145" t="s">
        <v>571</v>
      </c>
    </row>
    <row r="146" spans="31:31" x14ac:dyDescent="0.25">
      <c r="AE146" t="s">
        <v>572</v>
      </c>
    </row>
    <row r="147" spans="31:31" x14ac:dyDescent="0.25">
      <c r="AE147" t="s">
        <v>573</v>
      </c>
    </row>
    <row r="148" spans="31:31" x14ac:dyDescent="0.25">
      <c r="AE148" t="s">
        <v>574</v>
      </c>
    </row>
    <row r="149" spans="31:31" x14ac:dyDescent="0.25">
      <c r="AE149" t="s">
        <v>575</v>
      </c>
    </row>
    <row r="150" spans="31:31" x14ac:dyDescent="0.25">
      <c r="AE150" t="s">
        <v>576</v>
      </c>
    </row>
    <row r="151" spans="31:31" x14ac:dyDescent="0.25">
      <c r="AE151" t="s">
        <v>577</v>
      </c>
    </row>
    <row r="152" spans="31:31" x14ac:dyDescent="0.25">
      <c r="AE152" t="s">
        <v>578</v>
      </c>
    </row>
    <row r="153" spans="31:31" x14ac:dyDescent="0.25">
      <c r="AE153" t="s">
        <v>579</v>
      </c>
    </row>
    <row r="154" spans="31:31" x14ac:dyDescent="0.25">
      <c r="AE154" t="s">
        <v>580</v>
      </c>
    </row>
    <row r="155" spans="31:31" x14ac:dyDescent="0.25">
      <c r="AE155" t="s">
        <v>581</v>
      </c>
    </row>
    <row r="156" spans="31:31" x14ac:dyDescent="0.25">
      <c r="AE156" t="s">
        <v>582</v>
      </c>
    </row>
    <row r="157" spans="31:31" x14ac:dyDescent="0.25">
      <c r="AE157" t="s">
        <v>583</v>
      </c>
    </row>
    <row r="158" spans="31:31" x14ac:dyDescent="0.25">
      <c r="AE158" t="s">
        <v>584</v>
      </c>
    </row>
    <row r="159" spans="31:31" x14ac:dyDescent="0.25">
      <c r="AE159" t="s">
        <v>585</v>
      </c>
    </row>
    <row r="160" spans="31:31" x14ac:dyDescent="0.25">
      <c r="AE160" t="s">
        <v>586</v>
      </c>
    </row>
    <row r="161" spans="31:31" x14ac:dyDescent="0.25">
      <c r="AE161" t="s">
        <v>587</v>
      </c>
    </row>
    <row r="162" spans="31:31" x14ac:dyDescent="0.25">
      <c r="AE162" t="s">
        <v>588</v>
      </c>
    </row>
    <row r="163" spans="31:31" x14ac:dyDescent="0.25">
      <c r="AE163" t="s">
        <v>589</v>
      </c>
    </row>
    <row r="164" spans="31:31" x14ac:dyDescent="0.25">
      <c r="AE164" t="s">
        <v>590</v>
      </c>
    </row>
    <row r="165" spans="31:31" x14ac:dyDescent="0.25">
      <c r="AE165" t="s">
        <v>591</v>
      </c>
    </row>
    <row r="166" spans="31:31" x14ac:dyDescent="0.25">
      <c r="AE166" t="s">
        <v>592</v>
      </c>
    </row>
    <row r="167" spans="31:31" x14ac:dyDescent="0.25">
      <c r="AE167" t="s">
        <v>593</v>
      </c>
    </row>
    <row r="168" spans="31:31" x14ac:dyDescent="0.25">
      <c r="AE168" t="s">
        <v>594</v>
      </c>
    </row>
    <row r="169" spans="31:31" x14ac:dyDescent="0.25">
      <c r="AE169" t="s">
        <v>595</v>
      </c>
    </row>
    <row r="170" spans="31:31" x14ac:dyDescent="0.25">
      <c r="AE170" t="s">
        <v>596</v>
      </c>
    </row>
    <row r="171" spans="31:31" x14ac:dyDescent="0.25">
      <c r="AE171" t="s">
        <v>597</v>
      </c>
    </row>
    <row r="172" spans="31:31" x14ac:dyDescent="0.25">
      <c r="AE172" t="s">
        <v>598</v>
      </c>
    </row>
    <row r="173" spans="31:31" x14ac:dyDescent="0.25">
      <c r="AE173" t="s">
        <v>599</v>
      </c>
    </row>
    <row r="174" spans="31:31" x14ac:dyDescent="0.25">
      <c r="AE174" t="s">
        <v>600</v>
      </c>
    </row>
    <row r="175" spans="31:31" x14ac:dyDescent="0.25">
      <c r="AE175" t="s">
        <v>601</v>
      </c>
    </row>
    <row r="176" spans="31:31" x14ac:dyDescent="0.25">
      <c r="AE176" t="s">
        <v>602</v>
      </c>
    </row>
    <row r="177" spans="31:31" x14ac:dyDescent="0.25">
      <c r="AE177" t="s">
        <v>603</v>
      </c>
    </row>
    <row r="178" spans="31:31" x14ac:dyDescent="0.25">
      <c r="AE178" t="s">
        <v>604</v>
      </c>
    </row>
    <row r="179" spans="31:31" x14ac:dyDescent="0.25">
      <c r="AE179" t="s">
        <v>605</v>
      </c>
    </row>
    <row r="180" spans="31:31" x14ac:dyDescent="0.25">
      <c r="AE180" t="s">
        <v>606</v>
      </c>
    </row>
    <row r="181" spans="31:31" x14ac:dyDescent="0.25">
      <c r="AE181" t="s">
        <v>607</v>
      </c>
    </row>
    <row r="182" spans="31:31" x14ac:dyDescent="0.25">
      <c r="AE182" t="s">
        <v>608</v>
      </c>
    </row>
    <row r="183" spans="31:31" x14ac:dyDescent="0.25">
      <c r="AE183" t="s">
        <v>609</v>
      </c>
    </row>
    <row r="184" spans="31:31" x14ac:dyDescent="0.25">
      <c r="AE184" t="s">
        <v>610</v>
      </c>
    </row>
    <row r="185" spans="31:31" x14ac:dyDescent="0.25">
      <c r="AE185" t="s">
        <v>611</v>
      </c>
    </row>
    <row r="186" spans="31:31" x14ac:dyDescent="0.25">
      <c r="AE186" t="s">
        <v>612</v>
      </c>
    </row>
    <row r="187" spans="31:31" x14ac:dyDescent="0.25">
      <c r="AE187" t="s">
        <v>613</v>
      </c>
    </row>
    <row r="188" spans="31:31" x14ac:dyDescent="0.25">
      <c r="AE188" t="s">
        <v>614</v>
      </c>
    </row>
    <row r="189" spans="31:31" x14ac:dyDescent="0.25">
      <c r="AE189" t="s">
        <v>615</v>
      </c>
    </row>
    <row r="190" spans="31:31" x14ac:dyDescent="0.25">
      <c r="AE190" t="s">
        <v>616</v>
      </c>
    </row>
    <row r="191" spans="31:31" x14ac:dyDescent="0.25">
      <c r="AE191" t="s">
        <v>617</v>
      </c>
    </row>
    <row r="192" spans="31:31" x14ac:dyDescent="0.25">
      <c r="AE192" t="s">
        <v>618</v>
      </c>
    </row>
    <row r="193" spans="31:31" x14ac:dyDescent="0.25">
      <c r="AE193" t="s">
        <v>619</v>
      </c>
    </row>
    <row r="194" spans="31:31" x14ac:dyDescent="0.25">
      <c r="AE194" t="s">
        <v>620</v>
      </c>
    </row>
    <row r="195" spans="31:31" x14ac:dyDescent="0.25">
      <c r="AE195" t="s">
        <v>621</v>
      </c>
    </row>
    <row r="196" spans="31:31" x14ac:dyDescent="0.25">
      <c r="AE196" t="s">
        <v>622</v>
      </c>
    </row>
    <row r="197" spans="31:31" x14ac:dyDescent="0.25">
      <c r="AE197" t="s">
        <v>623</v>
      </c>
    </row>
    <row r="198" spans="31:31" x14ac:dyDescent="0.25">
      <c r="AE198" t="s">
        <v>624</v>
      </c>
    </row>
    <row r="199" spans="31:31" x14ac:dyDescent="0.25">
      <c r="AE199" t="s">
        <v>625</v>
      </c>
    </row>
    <row r="200" spans="31:31" x14ac:dyDescent="0.25">
      <c r="AE200" t="s">
        <v>626</v>
      </c>
    </row>
    <row r="201" spans="31:31" x14ac:dyDescent="0.25">
      <c r="AE201" t="s">
        <v>627</v>
      </c>
    </row>
    <row r="202" spans="31:31" x14ac:dyDescent="0.25">
      <c r="AE202" t="s">
        <v>628</v>
      </c>
    </row>
    <row r="203" spans="31:31" x14ac:dyDescent="0.25">
      <c r="AE203" t="s">
        <v>629</v>
      </c>
    </row>
    <row r="204" spans="31:31" x14ac:dyDescent="0.25">
      <c r="AE204" t="s">
        <v>630</v>
      </c>
    </row>
    <row r="205" spans="31:31" x14ac:dyDescent="0.25">
      <c r="AE205" t="s">
        <v>631</v>
      </c>
    </row>
    <row r="206" spans="31:31" x14ac:dyDescent="0.25">
      <c r="AE206" t="s">
        <v>632</v>
      </c>
    </row>
    <row r="207" spans="31:31" x14ac:dyDescent="0.25">
      <c r="AE207" t="s">
        <v>633</v>
      </c>
    </row>
    <row r="208" spans="31:31" x14ac:dyDescent="0.25">
      <c r="AE208" t="s">
        <v>634</v>
      </c>
    </row>
    <row r="209" spans="31:31" x14ac:dyDescent="0.25">
      <c r="AE209" t="s">
        <v>635</v>
      </c>
    </row>
    <row r="210" spans="31:31" x14ac:dyDescent="0.25">
      <c r="AE210" t="s">
        <v>636</v>
      </c>
    </row>
    <row r="211" spans="31:31" x14ac:dyDescent="0.25">
      <c r="AE211" t="s">
        <v>637</v>
      </c>
    </row>
    <row r="212" spans="31:31" x14ac:dyDescent="0.25">
      <c r="AE212" t="s">
        <v>638</v>
      </c>
    </row>
    <row r="213" spans="31:31" x14ac:dyDescent="0.25">
      <c r="AE213" t="s">
        <v>639</v>
      </c>
    </row>
    <row r="214" spans="31:31" x14ac:dyDescent="0.25">
      <c r="AE214" t="s">
        <v>640</v>
      </c>
    </row>
    <row r="215" spans="31:31" x14ac:dyDescent="0.25">
      <c r="AE215" t="s">
        <v>641</v>
      </c>
    </row>
    <row r="216" spans="31:31" x14ac:dyDescent="0.25">
      <c r="AE216" t="s">
        <v>642</v>
      </c>
    </row>
    <row r="217" spans="31:31" x14ac:dyDescent="0.25">
      <c r="AE217" t="s">
        <v>643</v>
      </c>
    </row>
    <row r="218" spans="31:31" x14ac:dyDescent="0.25">
      <c r="AE218" t="s">
        <v>644</v>
      </c>
    </row>
    <row r="219" spans="31:31" x14ac:dyDescent="0.25">
      <c r="AE219" t="s">
        <v>645</v>
      </c>
    </row>
    <row r="220" spans="31:31" x14ac:dyDescent="0.25">
      <c r="AE220" t="s">
        <v>646</v>
      </c>
    </row>
    <row r="221" spans="31:31" x14ac:dyDescent="0.25">
      <c r="AE221" t="s">
        <v>647</v>
      </c>
    </row>
    <row r="222" spans="31:31" x14ac:dyDescent="0.25">
      <c r="AE222" t="s">
        <v>648</v>
      </c>
    </row>
    <row r="223" spans="31:31" x14ac:dyDescent="0.25">
      <c r="AE223" t="s">
        <v>649</v>
      </c>
    </row>
    <row r="224" spans="31:31" x14ac:dyDescent="0.25">
      <c r="AE224" t="s">
        <v>650</v>
      </c>
    </row>
    <row r="225" spans="31:31" x14ac:dyDescent="0.25">
      <c r="AE225" t="s">
        <v>651</v>
      </c>
    </row>
    <row r="226" spans="31:31" x14ac:dyDescent="0.25">
      <c r="AE226" t="s">
        <v>652</v>
      </c>
    </row>
    <row r="227" spans="31:31" x14ac:dyDescent="0.25">
      <c r="AE227" t="s">
        <v>653</v>
      </c>
    </row>
    <row r="228" spans="31:31" x14ac:dyDescent="0.25">
      <c r="AE228" t="s">
        <v>654</v>
      </c>
    </row>
    <row r="229" spans="31:31" x14ac:dyDescent="0.25">
      <c r="AE229" t="s">
        <v>655</v>
      </c>
    </row>
    <row r="230" spans="31:31" x14ac:dyDescent="0.25">
      <c r="AE230" t="s">
        <v>656</v>
      </c>
    </row>
    <row r="231" spans="31:31" x14ac:dyDescent="0.25">
      <c r="AE231" t="s">
        <v>657</v>
      </c>
    </row>
    <row r="232" spans="31:31" x14ac:dyDescent="0.25">
      <c r="AE232" t="s">
        <v>658</v>
      </c>
    </row>
    <row r="233" spans="31:31" x14ac:dyDescent="0.25">
      <c r="AE233" t="s">
        <v>659</v>
      </c>
    </row>
    <row r="234" spans="31:31" x14ac:dyDescent="0.25">
      <c r="AE234" t="s">
        <v>660</v>
      </c>
    </row>
    <row r="235" spans="31:31" x14ac:dyDescent="0.25">
      <c r="AE235" t="s">
        <v>661</v>
      </c>
    </row>
    <row r="236" spans="31:31" x14ac:dyDescent="0.25">
      <c r="AE236" t="s">
        <v>662</v>
      </c>
    </row>
    <row r="237" spans="31:31" x14ac:dyDescent="0.25">
      <c r="AE237" t="s">
        <v>663</v>
      </c>
    </row>
    <row r="238" spans="31:31" x14ac:dyDescent="0.25">
      <c r="AE238" t="s">
        <v>664</v>
      </c>
    </row>
    <row r="239" spans="31:31" x14ac:dyDescent="0.25">
      <c r="AE239" t="s">
        <v>665</v>
      </c>
    </row>
    <row r="240" spans="31:31" x14ac:dyDescent="0.25">
      <c r="AE240" t="s">
        <v>666</v>
      </c>
    </row>
    <row r="241" spans="31:31" x14ac:dyDescent="0.25">
      <c r="AE241" t="s">
        <v>667</v>
      </c>
    </row>
    <row r="242" spans="31:31" x14ac:dyDescent="0.25">
      <c r="AE242" t="s">
        <v>668</v>
      </c>
    </row>
    <row r="243" spans="31:31" x14ac:dyDescent="0.25">
      <c r="AE243" t="s">
        <v>669</v>
      </c>
    </row>
    <row r="244" spans="31:31" x14ac:dyDescent="0.25">
      <c r="AE244" t="s">
        <v>670</v>
      </c>
    </row>
    <row r="245" spans="31:31" x14ac:dyDescent="0.25">
      <c r="AE245" t="s">
        <v>671</v>
      </c>
    </row>
    <row r="246" spans="31:31" x14ac:dyDescent="0.25">
      <c r="AE246" t="s">
        <v>672</v>
      </c>
    </row>
    <row r="247" spans="31:31" x14ac:dyDescent="0.25">
      <c r="AE247" t="s">
        <v>673</v>
      </c>
    </row>
    <row r="248" spans="31:31" x14ac:dyDescent="0.25">
      <c r="AE248" t="s">
        <v>674</v>
      </c>
    </row>
    <row r="249" spans="31:31" x14ac:dyDescent="0.25">
      <c r="AE249" t="s">
        <v>675</v>
      </c>
    </row>
    <row r="250" spans="31:31" x14ac:dyDescent="0.25">
      <c r="AE250" t="s">
        <v>676</v>
      </c>
    </row>
    <row r="251" spans="31:31" x14ac:dyDescent="0.25">
      <c r="AE251" t="s">
        <v>677</v>
      </c>
    </row>
    <row r="252" spans="31:31" x14ac:dyDescent="0.25">
      <c r="AE252" t="s">
        <v>678</v>
      </c>
    </row>
    <row r="253" spans="31:31" x14ac:dyDescent="0.25">
      <c r="AE253" t="s">
        <v>679</v>
      </c>
    </row>
    <row r="254" spans="31:31" x14ac:dyDescent="0.25">
      <c r="AE254" t="s">
        <v>106</v>
      </c>
    </row>
    <row r="255" spans="31:31" x14ac:dyDescent="0.25">
      <c r="AE255" t="s">
        <v>680</v>
      </c>
    </row>
    <row r="256" spans="31:31" x14ac:dyDescent="0.25">
      <c r="AE256" t="s">
        <v>681</v>
      </c>
    </row>
    <row r="257" spans="31:31" x14ac:dyDescent="0.25">
      <c r="AE257" t="s">
        <v>682</v>
      </c>
    </row>
    <row r="258" spans="31:31" x14ac:dyDescent="0.25">
      <c r="AE258" t="s">
        <v>683</v>
      </c>
    </row>
    <row r="259" spans="31:31" x14ac:dyDescent="0.25">
      <c r="AE259" t="s">
        <v>684</v>
      </c>
    </row>
    <row r="260" spans="31:31" x14ac:dyDescent="0.25">
      <c r="AE260" t="s">
        <v>685</v>
      </c>
    </row>
    <row r="261" spans="31:31" x14ac:dyDescent="0.25">
      <c r="AE261" t="s">
        <v>686</v>
      </c>
    </row>
    <row r="262" spans="31:31" x14ac:dyDescent="0.25">
      <c r="AE262" t="s">
        <v>687</v>
      </c>
    </row>
    <row r="263" spans="31:31" x14ac:dyDescent="0.25">
      <c r="AE263" t="s">
        <v>688</v>
      </c>
    </row>
    <row r="264" spans="31:31" x14ac:dyDescent="0.25">
      <c r="AE264" t="s">
        <v>689</v>
      </c>
    </row>
    <row r="265" spans="31:31" x14ac:dyDescent="0.25">
      <c r="AE265" t="s">
        <v>690</v>
      </c>
    </row>
    <row r="266" spans="31:31" x14ac:dyDescent="0.25">
      <c r="AE266" t="s">
        <v>691</v>
      </c>
    </row>
    <row r="267" spans="31:31" x14ac:dyDescent="0.25">
      <c r="AE267" t="s">
        <v>692</v>
      </c>
    </row>
    <row r="268" spans="31:31" x14ac:dyDescent="0.25">
      <c r="AE268" t="s">
        <v>693</v>
      </c>
    </row>
    <row r="269" spans="31:31" x14ac:dyDescent="0.25">
      <c r="AE269" t="s">
        <v>694</v>
      </c>
    </row>
    <row r="270" spans="31:31" x14ac:dyDescent="0.25">
      <c r="AE270" t="s">
        <v>695</v>
      </c>
    </row>
    <row r="271" spans="31:31" x14ac:dyDescent="0.25">
      <c r="AE271" t="s">
        <v>696</v>
      </c>
    </row>
    <row r="272" spans="31:31" x14ac:dyDescent="0.25">
      <c r="AE272" t="s">
        <v>697</v>
      </c>
    </row>
    <row r="273" spans="31:31" x14ac:dyDescent="0.25">
      <c r="AE273" t="s">
        <v>698</v>
      </c>
    </row>
    <row r="274" spans="31:31" x14ac:dyDescent="0.25">
      <c r="AE274" t="s">
        <v>699</v>
      </c>
    </row>
    <row r="275" spans="31:31" x14ac:dyDescent="0.25">
      <c r="AE275" t="s">
        <v>700</v>
      </c>
    </row>
    <row r="276" spans="31:31" x14ac:dyDescent="0.25">
      <c r="AE276" t="s">
        <v>701</v>
      </c>
    </row>
    <row r="277" spans="31:31" x14ac:dyDescent="0.25">
      <c r="AE277" t="s">
        <v>702</v>
      </c>
    </row>
    <row r="278" spans="31:31" x14ac:dyDescent="0.25">
      <c r="AE278" t="s">
        <v>703</v>
      </c>
    </row>
    <row r="279" spans="31:31" x14ac:dyDescent="0.25">
      <c r="AE279" t="s">
        <v>704</v>
      </c>
    </row>
    <row r="280" spans="31:31" x14ac:dyDescent="0.25">
      <c r="AE280" t="s">
        <v>705</v>
      </c>
    </row>
    <row r="281" spans="31:31" x14ac:dyDescent="0.25">
      <c r="AE281" t="s">
        <v>706</v>
      </c>
    </row>
    <row r="282" spans="31:31" x14ac:dyDescent="0.25">
      <c r="AE282" t="s">
        <v>707</v>
      </c>
    </row>
    <row r="283" spans="31:31" x14ac:dyDescent="0.25">
      <c r="AE283" t="s">
        <v>708</v>
      </c>
    </row>
    <row r="284" spans="31:31" x14ac:dyDescent="0.25">
      <c r="AE284" t="s">
        <v>709</v>
      </c>
    </row>
    <row r="285" spans="31:31" x14ac:dyDescent="0.25">
      <c r="AE285" t="s">
        <v>710</v>
      </c>
    </row>
    <row r="286" spans="31:31" x14ac:dyDescent="0.25">
      <c r="AE286" t="s">
        <v>711</v>
      </c>
    </row>
    <row r="287" spans="31:31" x14ac:dyDescent="0.25">
      <c r="AE287" t="s">
        <v>712</v>
      </c>
    </row>
    <row r="288" spans="31:31" x14ac:dyDescent="0.25">
      <c r="AE288" t="s">
        <v>713</v>
      </c>
    </row>
    <row r="289" spans="31:31" x14ac:dyDescent="0.25">
      <c r="AE289" t="s">
        <v>714</v>
      </c>
    </row>
    <row r="290" spans="31:31" x14ac:dyDescent="0.25">
      <c r="AE290" t="s">
        <v>715</v>
      </c>
    </row>
    <row r="291" spans="31:31" x14ac:dyDescent="0.25">
      <c r="AE291" t="s">
        <v>716</v>
      </c>
    </row>
    <row r="292" spans="31:31" x14ac:dyDescent="0.25">
      <c r="AE292" t="s">
        <v>717</v>
      </c>
    </row>
    <row r="293" spans="31:31" x14ac:dyDescent="0.25">
      <c r="AE293" t="s">
        <v>718</v>
      </c>
    </row>
    <row r="294" spans="31:31" x14ac:dyDescent="0.25">
      <c r="AE294" t="s">
        <v>719</v>
      </c>
    </row>
    <row r="295" spans="31:31" x14ac:dyDescent="0.25">
      <c r="AE295" t="s">
        <v>720</v>
      </c>
    </row>
    <row r="296" spans="31:31" x14ac:dyDescent="0.25">
      <c r="AE296" t="s">
        <v>721</v>
      </c>
    </row>
    <row r="297" spans="31:31" x14ac:dyDescent="0.25">
      <c r="AE297" t="s">
        <v>722</v>
      </c>
    </row>
    <row r="298" spans="31:31" x14ac:dyDescent="0.25">
      <c r="AE298" t="s">
        <v>723</v>
      </c>
    </row>
    <row r="299" spans="31:31" x14ac:dyDescent="0.25">
      <c r="AE299" t="s">
        <v>724</v>
      </c>
    </row>
    <row r="300" spans="31:31" x14ac:dyDescent="0.25">
      <c r="AE300" t="s">
        <v>725</v>
      </c>
    </row>
    <row r="301" spans="31:31" x14ac:dyDescent="0.25">
      <c r="AE301" t="s">
        <v>726</v>
      </c>
    </row>
    <row r="302" spans="31:31" x14ac:dyDescent="0.25">
      <c r="AE302" t="s">
        <v>727</v>
      </c>
    </row>
    <row r="303" spans="31:31" x14ac:dyDescent="0.25">
      <c r="AE303" t="s">
        <v>728</v>
      </c>
    </row>
    <row r="304" spans="31:31" x14ac:dyDescent="0.25">
      <c r="AE304" t="s">
        <v>729</v>
      </c>
    </row>
    <row r="305" spans="31:31" x14ac:dyDescent="0.25">
      <c r="AE305" t="s">
        <v>730</v>
      </c>
    </row>
    <row r="306" spans="31:31" x14ac:dyDescent="0.25">
      <c r="AE306" t="s">
        <v>731</v>
      </c>
    </row>
    <row r="307" spans="31:31" x14ac:dyDescent="0.25">
      <c r="AE307" t="s">
        <v>732</v>
      </c>
    </row>
    <row r="308" spans="31:31" x14ac:dyDescent="0.25">
      <c r="AE308" t="s">
        <v>733</v>
      </c>
    </row>
    <row r="309" spans="31:31" x14ac:dyDescent="0.25">
      <c r="AE309" t="s">
        <v>734</v>
      </c>
    </row>
    <row r="310" spans="31:31" x14ac:dyDescent="0.25">
      <c r="AE310" t="s">
        <v>735</v>
      </c>
    </row>
    <row r="311" spans="31:31" x14ac:dyDescent="0.25">
      <c r="AE311" t="s">
        <v>736</v>
      </c>
    </row>
    <row r="312" spans="31:31" x14ac:dyDescent="0.25">
      <c r="AE312" t="s">
        <v>737</v>
      </c>
    </row>
    <row r="313" spans="31:31" x14ac:dyDescent="0.25">
      <c r="AE313" t="s">
        <v>738</v>
      </c>
    </row>
    <row r="314" spans="31:31" x14ac:dyDescent="0.25">
      <c r="AE314" t="s">
        <v>739</v>
      </c>
    </row>
    <row r="315" spans="31:31" x14ac:dyDescent="0.25">
      <c r="AE315" t="s">
        <v>740</v>
      </c>
    </row>
    <row r="316" spans="31:31" x14ac:dyDescent="0.25">
      <c r="AE316" t="s">
        <v>741</v>
      </c>
    </row>
    <row r="317" spans="31:31" x14ac:dyDescent="0.25">
      <c r="AE317" t="s">
        <v>742</v>
      </c>
    </row>
    <row r="318" spans="31:31" x14ac:dyDescent="0.25">
      <c r="AE318" t="s">
        <v>743</v>
      </c>
    </row>
    <row r="319" spans="31:31" x14ac:dyDescent="0.25">
      <c r="AE319" t="s">
        <v>744</v>
      </c>
    </row>
    <row r="320" spans="31:31" x14ac:dyDescent="0.25">
      <c r="AE320" t="s">
        <v>745</v>
      </c>
    </row>
    <row r="321" spans="31:31" x14ac:dyDescent="0.25">
      <c r="AE321" t="s">
        <v>746</v>
      </c>
    </row>
    <row r="322" spans="31:31" x14ac:dyDescent="0.25">
      <c r="AE322" t="s">
        <v>747</v>
      </c>
    </row>
    <row r="323" spans="31:31" x14ac:dyDescent="0.25">
      <c r="AE323" t="s">
        <v>748</v>
      </c>
    </row>
    <row r="324" spans="31:31" x14ac:dyDescent="0.25">
      <c r="AE324" t="s">
        <v>749</v>
      </c>
    </row>
    <row r="325" spans="31:31" x14ac:dyDescent="0.25">
      <c r="AE325" t="s">
        <v>750</v>
      </c>
    </row>
    <row r="326" spans="31:31" x14ac:dyDescent="0.25">
      <c r="AE326" t="s">
        <v>751</v>
      </c>
    </row>
    <row r="327" spans="31:31" x14ac:dyDescent="0.25">
      <c r="AE327" t="s">
        <v>752</v>
      </c>
    </row>
    <row r="328" spans="31:31" x14ac:dyDescent="0.25">
      <c r="AE328" t="s">
        <v>753</v>
      </c>
    </row>
    <row r="329" spans="31:31" x14ac:dyDescent="0.25">
      <c r="AE329" t="s">
        <v>754</v>
      </c>
    </row>
    <row r="330" spans="31:31" x14ac:dyDescent="0.25">
      <c r="AE330" t="s">
        <v>755</v>
      </c>
    </row>
    <row r="331" spans="31:31" x14ac:dyDescent="0.25">
      <c r="AE331" t="s">
        <v>756</v>
      </c>
    </row>
    <row r="332" spans="31:31" x14ac:dyDescent="0.25">
      <c r="AE332" t="s">
        <v>757</v>
      </c>
    </row>
    <row r="333" spans="31:31" x14ac:dyDescent="0.25">
      <c r="AE333" t="s">
        <v>758</v>
      </c>
    </row>
    <row r="334" spans="31:31" x14ac:dyDescent="0.25">
      <c r="AE334" t="s">
        <v>759</v>
      </c>
    </row>
    <row r="335" spans="31:31" x14ac:dyDescent="0.25">
      <c r="AE335" t="s">
        <v>760</v>
      </c>
    </row>
    <row r="336" spans="31:31" x14ac:dyDescent="0.25">
      <c r="AE336" t="s">
        <v>761</v>
      </c>
    </row>
    <row r="337" spans="31:31" x14ac:dyDescent="0.25">
      <c r="AE337" t="s">
        <v>762</v>
      </c>
    </row>
    <row r="338" spans="31:31" x14ac:dyDescent="0.25">
      <c r="AE338" t="s">
        <v>763</v>
      </c>
    </row>
    <row r="339" spans="31:31" x14ac:dyDescent="0.25">
      <c r="AE339" t="s">
        <v>764</v>
      </c>
    </row>
    <row r="340" spans="31:31" x14ac:dyDescent="0.25">
      <c r="AE340" t="s">
        <v>765</v>
      </c>
    </row>
    <row r="341" spans="31:31" x14ac:dyDescent="0.25">
      <c r="AE341" t="s">
        <v>766</v>
      </c>
    </row>
    <row r="342" spans="31:31" x14ac:dyDescent="0.25">
      <c r="AE342" t="s">
        <v>767</v>
      </c>
    </row>
    <row r="343" spans="31:31" x14ac:dyDescent="0.25">
      <c r="AE343" t="s">
        <v>768</v>
      </c>
    </row>
    <row r="344" spans="31:31" x14ac:dyDescent="0.25">
      <c r="AE344" t="s">
        <v>769</v>
      </c>
    </row>
    <row r="345" spans="31:31" x14ac:dyDescent="0.25">
      <c r="AE345" t="s">
        <v>770</v>
      </c>
    </row>
    <row r="346" spans="31:31" x14ac:dyDescent="0.25">
      <c r="AE346" t="s">
        <v>771</v>
      </c>
    </row>
    <row r="347" spans="31:31" x14ac:dyDescent="0.25">
      <c r="AE347" t="s">
        <v>772</v>
      </c>
    </row>
    <row r="348" spans="31:31" x14ac:dyDescent="0.25">
      <c r="AE348" t="s">
        <v>773</v>
      </c>
    </row>
    <row r="349" spans="31:31" x14ac:dyDescent="0.25">
      <c r="AE349" t="s">
        <v>774</v>
      </c>
    </row>
    <row r="350" spans="31:31" x14ac:dyDescent="0.25">
      <c r="AE350" t="s">
        <v>775</v>
      </c>
    </row>
    <row r="351" spans="31:31" x14ac:dyDescent="0.25">
      <c r="AE351" t="s">
        <v>776</v>
      </c>
    </row>
    <row r="352" spans="31:31" x14ac:dyDescent="0.25">
      <c r="AE352" t="s">
        <v>777</v>
      </c>
    </row>
    <row r="353" spans="31:31" x14ac:dyDescent="0.25">
      <c r="AE353" t="s">
        <v>778</v>
      </c>
    </row>
    <row r="354" spans="31:31" x14ac:dyDescent="0.25">
      <c r="AE354" t="s">
        <v>779</v>
      </c>
    </row>
    <row r="355" spans="31:31" x14ac:dyDescent="0.25">
      <c r="AE355" t="s">
        <v>780</v>
      </c>
    </row>
    <row r="356" spans="31:31" x14ac:dyDescent="0.25">
      <c r="AE356" t="s">
        <v>781</v>
      </c>
    </row>
    <row r="357" spans="31:31" x14ac:dyDescent="0.25">
      <c r="AE357" t="s">
        <v>782</v>
      </c>
    </row>
    <row r="358" spans="31:31" x14ac:dyDescent="0.25">
      <c r="AE358" t="s">
        <v>783</v>
      </c>
    </row>
    <row r="359" spans="31:31" x14ac:dyDescent="0.25">
      <c r="AE359" t="s">
        <v>784</v>
      </c>
    </row>
    <row r="360" spans="31:31" x14ac:dyDescent="0.25">
      <c r="AE360" t="s">
        <v>785</v>
      </c>
    </row>
    <row r="361" spans="31:31" x14ac:dyDescent="0.25">
      <c r="AE361" t="s">
        <v>786</v>
      </c>
    </row>
    <row r="362" spans="31:31" x14ac:dyDescent="0.25">
      <c r="AE362" t="s">
        <v>787</v>
      </c>
    </row>
    <row r="363" spans="31:31" x14ac:dyDescent="0.25">
      <c r="AE363" t="s">
        <v>788</v>
      </c>
    </row>
    <row r="364" spans="31:31" x14ac:dyDescent="0.25">
      <c r="AE364" t="s">
        <v>789</v>
      </c>
    </row>
    <row r="365" spans="31:31" x14ac:dyDescent="0.25">
      <c r="AE365" t="s">
        <v>790</v>
      </c>
    </row>
    <row r="366" spans="31:31" x14ac:dyDescent="0.25">
      <c r="AE366" t="s">
        <v>791</v>
      </c>
    </row>
    <row r="367" spans="31:31" x14ac:dyDescent="0.25">
      <c r="AE367" t="s">
        <v>792</v>
      </c>
    </row>
    <row r="368" spans="31:31" x14ac:dyDescent="0.25">
      <c r="AE368" t="s">
        <v>793</v>
      </c>
    </row>
    <row r="369" spans="31:31" x14ac:dyDescent="0.25">
      <c r="AE369" t="s">
        <v>794</v>
      </c>
    </row>
    <row r="370" spans="31:31" x14ac:dyDescent="0.25">
      <c r="AE370" t="s">
        <v>795</v>
      </c>
    </row>
    <row r="371" spans="31:31" x14ac:dyDescent="0.25">
      <c r="AE371" t="s">
        <v>796</v>
      </c>
    </row>
    <row r="372" spans="31:31" x14ac:dyDescent="0.25">
      <c r="AE372" t="s">
        <v>797</v>
      </c>
    </row>
    <row r="373" spans="31:31" x14ac:dyDescent="0.25">
      <c r="AE373" t="s">
        <v>798</v>
      </c>
    </row>
    <row r="374" spans="31:31" x14ac:dyDescent="0.25">
      <c r="AE374" t="s">
        <v>799</v>
      </c>
    </row>
    <row r="375" spans="31:31" x14ac:dyDescent="0.25">
      <c r="AE375" t="s">
        <v>800</v>
      </c>
    </row>
    <row r="376" spans="31:31" x14ac:dyDescent="0.25">
      <c r="AE376" t="s">
        <v>801</v>
      </c>
    </row>
    <row r="377" spans="31:31" x14ac:dyDescent="0.25">
      <c r="AE377" t="s">
        <v>802</v>
      </c>
    </row>
    <row r="378" spans="31:31" x14ac:dyDescent="0.25">
      <c r="AE378" t="s">
        <v>803</v>
      </c>
    </row>
    <row r="379" spans="31:31" x14ac:dyDescent="0.25">
      <c r="AE379" t="s">
        <v>804</v>
      </c>
    </row>
    <row r="380" spans="31:31" x14ac:dyDescent="0.25">
      <c r="AE380" t="s">
        <v>805</v>
      </c>
    </row>
    <row r="381" spans="31:31" x14ac:dyDescent="0.25">
      <c r="AE381" t="s">
        <v>806</v>
      </c>
    </row>
    <row r="382" spans="31:31" x14ac:dyDescent="0.25">
      <c r="AE382" t="s">
        <v>807</v>
      </c>
    </row>
    <row r="383" spans="31:31" x14ac:dyDescent="0.25">
      <c r="AE383" t="s">
        <v>808</v>
      </c>
    </row>
    <row r="384" spans="31:31" x14ac:dyDescent="0.25">
      <c r="AE384" t="s">
        <v>809</v>
      </c>
    </row>
    <row r="385" spans="31:31" x14ac:dyDescent="0.25">
      <c r="AE385" t="s">
        <v>810</v>
      </c>
    </row>
    <row r="386" spans="31:31" x14ac:dyDescent="0.25">
      <c r="AE386" t="s">
        <v>811</v>
      </c>
    </row>
    <row r="387" spans="31:31" x14ac:dyDescent="0.25">
      <c r="AE387" t="s">
        <v>812</v>
      </c>
    </row>
    <row r="388" spans="31:31" x14ac:dyDescent="0.25">
      <c r="AE388" t="s">
        <v>813</v>
      </c>
    </row>
    <row r="389" spans="31:31" x14ac:dyDescent="0.25">
      <c r="AE389" t="s">
        <v>814</v>
      </c>
    </row>
    <row r="390" spans="31:31" x14ac:dyDescent="0.25">
      <c r="AE390" t="s">
        <v>815</v>
      </c>
    </row>
    <row r="391" spans="31:31" x14ac:dyDescent="0.25">
      <c r="AE391" t="s">
        <v>816</v>
      </c>
    </row>
    <row r="392" spans="31:31" x14ac:dyDescent="0.25">
      <c r="AE392" t="s">
        <v>817</v>
      </c>
    </row>
    <row r="393" spans="31:31" x14ac:dyDescent="0.25">
      <c r="AE393" t="s">
        <v>818</v>
      </c>
    </row>
    <row r="394" spans="31:31" x14ac:dyDescent="0.25">
      <c r="AE394" t="s">
        <v>819</v>
      </c>
    </row>
    <row r="395" spans="31:31" x14ac:dyDescent="0.25">
      <c r="AE395" t="s">
        <v>820</v>
      </c>
    </row>
    <row r="396" spans="31:31" x14ac:dyDescent="0.25">
      <c r="AE396" t="s">
        <v>821</v>
      </c>
    </row>
    <row r="397" spans="31:31" x14ac:dyDescent="0.25">
      <c r="AE397" t="s">
        <v>822</v>
      </c>
    </row>
    <row r="398" spans="31:31" x14ac:dyDescent="0.25">
      <c r="AE398" t="s">
        <v>823</v>
      </c>
    </row>
    <row r="399" spans="31:31" x14ac:dyDescent="0.25">
      <c r="AE399" t="s">
        <v>824</v>
      </c>
    </row>
    <row r="400" spans="31:31" x14ac:dyDescent="0.25">
      <c r="AE400" t="s">
        <v>825</v>
      </c>
    </row>
    <row r="401" spans="31:31" x14ac:dyDescent="0.25">
      <c r="AE401" t="s">
        <v>826</v>
      </c>
    </row>
    <row r="402" spans="31:31" x14ac:dyDescent="0.25">
      <c r="AE402" t="s">
        <v>827</v>
      </c>
    </row>
    <row r="403" spans="31:31" x14ac:dyDescent="0.25">
      <c r="AE403" t="s">
        <v>828</v>
      </c>
    </row>
    <row r="404" spans="31:31" x14ac:dyDescent="0.25">
      <c r="AE404" t="s">
        <v>829</v>
      </c>
    </row>
    <row r="405" spans="31:31" x14ac:dyDescent="0.25">
      <c r="AE405" t="s">
        <v>830</v>
      </c>
    </row>
    <row r="406" spans="31:31" x14ac:dyDescent="0.25">
      <c r="AE406" t="s">
        <v>831</v>
      </c>
    </row>
    <row r="407" spans="31:31" x14ac:dyDescent="0.25">
      <c r="AE407" t="s">
        <v>832</v>
      </c>
    </row>
    <row r="408" spans="31:31" x14ac:dyDescent="0.25">
      <c r="AE408" t="s">
        <v>833</v>
      </c>
    </row>
    <row r="409" spans="31:31" x14ac:dyDescent="0.25">
      <c r="AE409" t="s">
        <v>834</v>
      </c>
    </row>
    <row r="410" spans="31:31" x14ac:dyDescent="0.25">
      <c r="AE410" t="s">
        <v>835</v>
      </c>
    </row>
    <row r="411" spans="31:31" x14ac:dyDescent="0.25">
      <c r="AE411" t="s">
        <v>836</v>
      </c>
    </row>
    <row r="412" spans="31:31" x14ac:dyDescent="0.25">
      <c r="AE412" t="s">
        <v>837</v>
      </c>
    </row>
    <row r="413" spans="31:31" x14ac:dyDescent="0.25">
      <c r="AE413" t="s">
        <v>838</v>
      </c>
    </row>
    <row r="414" spans="31:31" x14ac:dyDescent="0.25">
      <c r="AE414" t="s">
        <v>839</v>
      </c>
    </row>
    <row r="415" spans="31:31" x14ac:dyDescent="0.25">
      <c r="AE415" t="s">
        <v>840</v>
      </c>
    </row>
    <row r="416" spans="31:31" x14ac:dyDescent="0.25">
      <c r="AE416" t="s">
        <v>841</v>
      </c>
    </row>
    <row r="417" spans="31:31" x14ac:dyDescent="0.25">
      <c r="AE417" t="s">
        <v>842</v>
      </c>
    </row>
    <row r="418" spans="31:31" x14ac:dyDescent="0.25">
      <c r="AE418" t="s">
        <v>843</v>
      </c>
    </row>
    <row r="419" spans="31:31" x14ac:dyDescent="0.25">
      <c r="AE419" t="s">
        <v>844</v>
      </c>
    </row>
    <row r="420" spans="31:31" x14ac:dyDescent="0.25">
      <c r="AE420" t="s">
        <v>845</v>
      </c>
    </row>
    <row r="421" spans="31:31" x14ac:dyDescent="0.25">
      <c r="AE421" t="s">
        <v>846</v>
      </c>
    </row>
    <row r="422" spans="31:31" x14ac:dyDescent="0.25">
      <c r="AE422" t="s">
        <v>847</v>
      </c>
    </row>
    <row r="423" spans="31:31" x14ac:dyDescent="0.25">
      <c r="AE423" t="s">
        <v>848</v>
      </c>
    </row>
    <row r="424" spans="31:31" x14ac:dyDescent="0.25">
      <c r="AE424" t="s">
        <v>849</v>
      </c>
    </row>
    <row r="425" spans="31:31" x14ac:dyDescent="0.25">
      <c r="AE425" t="s">
        <v>850</v>
      </c>
    </row>
    <row r="426" spans="31:31" x14ac:dyDescent="0.25">
      <c r="AE426" t="s">
        <v>851</v>
      </c>
    </row>
    <row r="427" spans="31:31" x14ac:dyDescent="0.25">
      <c r="AE427" t="s">
        <v>852</v>
      </c>
    </row>
    <row r="428" spans="31:31" x14ac:dyDescent="0.25">
      <c r="AE428" t="s">
        <v>853</v>
      </c>
    </row>
    <row r="429" spans="31:31" x14ac:dyDescent="0.25">
      <c r="AE429" t="s">
        <v>854</v>
      </c>
    </row>
    <row r="430" spans="31:31" x14ac:dyDescent="0.25">
      <c r="AE430" t="s">
        <v>855</v>
      </c>
    </row>
    <row r="431" spans="31:31" x14ac:dyDescent="0.25">
      <c r="AE431" t="s">
        <v>856</v>
      </c>
    </row>
    <row r="432" spans="31:31" x14ac:dyDescent="0.25">
      <c r="AE432" t="s">
        <v>857</v>
      </c>
    </row>
    <row r="433" spans="31:31" x14ac:dyDescent="0.25">
      <c r="AE433" t="s">
        <v>858</v>
      </c>
    </row>
    <row r="434" spans="31:31" x14ac:dyDescent="0.25">
      <c r="AE434" t="s">
        <v>859</v>
      </c>
    </row>
    <row r="435" spans="31:31" x14ac:dyDescent="0.25">
      <c r="AE435" t="s">
        <v>860</v>
      </c>
    </row>
    <row r="436" spans="31:31" x14ac:dyDescent="0.25">
      <c r="AE436" t="s">
        <v>861</v>
      </c>
    </row>
    <row r="437" spans="31:31" x14ac:dyDescent="0.25">
      <c r="AE437" t="s">
        <v>862</v>
      </c>
    </row>
    <row r="438" spans="31:31" x14ac:dyDescent="0.25">
      <c r="AE438" t="s">
        <v>863</v>
      </c>
    </row>
    <row r="439" spans="31:31" x14ac:dyDescent="0.25">
      <c r="AE439" t="s">
        <v>864</v>
      </c>
    </row>
    <row r="440" spans="31:31" x14ac:dyDescent="0.25">
      <c r="AE440" t="s">
        <v>865</v>
      </c>
    </row>
    <row r="441" spans="31:31" x14ac:dyDescent="0.25">
      <c r="AE441" t="s">
        <v>866</v>
      </c>
    </row>
    <row r="442" spans="31:31" x14ac:dyDescent="0.25">
      <c r="AE442" t="s">
        <v>867</v>
      </c>
    </row>
    <row r="443" spans="31:31" x14ac:dyDescent="0.25">
      <c r="AE443" t="s">
        <v>868</v>
      </c>
    </row>
    <row r="444" spans="31:31" x14ac:dyDescent="0.25">
      <c r="AE444" t="s">
        <v>869</v>
      </c>
    </row>
    <row r="445" spans="31:31" x14ac:dyDescent="0.25">
      <c r="AE445" t="s">
        <v>870</v>
      </c>
    </row>
    <row r="446" spans="31:31" x14ac:dyDescent="0.25">
      <c r="AE446" t="s">
        <v>871</v>
      </c>
    </row>
    <row r="447" spans="31:31" x14ac:dyDescent="0.25">
      <c r="AE447" t="s">
        <v>872</v>
      </c>
    </row>
    <row r="448" spans="31:31" x14ac:dyDescent="0.25">
      <c r="AE448" t="s">
        <v>873</v>
      </c>
    </row>
    <row r="449" spans="31:31" x14ac:dyDescent="0.25">
      <c r="AE449" t="s">
        <v>874</v>
      </c>
    </row>
    <row r="450" spans="31:31" x14ac:dyDescent="0.25">
      <c r="AE450" t="s">
        <v>875</v>
      </c>
    </row>
    <row r="451" spans="31:31" x14ac:dyDescent="0.25">
      <c r="AE451" t="s">
        <v>876</v>
      </c>
    </row>
    <row r="452" spans="31:31" x14ac:dyDescent="0.25">
      <c r="AE452" t="s">
        <v>877</v>
      </c>
    </row>
    <row r="453" spans="31:31" x14ac:dyDescent="0.25">
      <c r="AE453" t="s">
        <v>878</v>
      </c>
    </row>
    <row r="454" spans="31:31" x14ac:dyDescent="0.25">
      <c r="AE454" t="s">
        <v>879</v>
      </c>
    </row>
    <row r="455" spans="31:31" x14ac:dyDescent="0.25">
      <c r="AE455" t="s">
        <v>880</v>
      </c>
    </row>
    <row r="456" spans="31:31" x14ac:dyDescent="0.25">
      <c r="AE456" t="s">
        <v>881</v>
      </c>
    </row>
    <row r="457" spans="31:31" x14ac:dyDescent="0.25">
      <c r="AE457" t="s">
        <v>882</v>
      </c>
    </row>
    <row r="458" spans="31:31" x14ac:dyDescent="0.25">
      <c r="AE458" t="s">
        <v>883</v>
      </c>
    </row>
    <row r="459" spans="31:31" x14ac:dyDescent="0.25">
      <c r="AE459" t="s">
        <v>884</v>
      </c>
    </row>
    <row r="460" spans="31:31" x14ac:dyDescent="0.25">
      <c r="AE460" t="s">
        <v>885</v>
      </c>
    </row>
    <row r="461" spans="31:31" x14ac:dyDescent="0.25">
      <c r="AE461" t="s">
        <v>886</v>
      </c>
    </row>
    <row r="462" spans="31:31" x14ac:dyDescent="0.25">
      <c r="AE462" t="s">
        <v>887</v>
      </c>
    </row>
    <row r="463" spans="31:31" x14ac:dyDescent="0.25">
      <c r="AE463" t="s">
        <v>888</v>
      </c>
    </row>
    <row r="464" spans="31:31" x14ac:dyDescent="0.25">
      <c r="AE464" t="s">
        <v>889</v>
      </c>
    </row>
    <row r="465" spans="31:31" x14ac:dyDescent="0.25">
      <c r="AE465" t="s">
        <v>890</v>
      </c>
    </row>
    <row r="466" spans="31:31" x14ac:dyDescent="0.25">
      <c r="AE466" t="s">
        <v>891</v>
      </c>
    </row>
    <row r="467" spans="31:31" x14ac:dyDescent="0.25">
      <c r="AE467" t="s">
        <v>892</v>
      </c>
    </row>
    <row r="468" spans="31:31" x14ac:dyDescent="0.25">
      <c r="AE468" t="s">
        <v>893</v>
      </c>
    </row>
    <row r="469" spans="31:31" x14ac:dyDescent="0.25">
      <c r="AE469" t="s">
        <v>894</v>
      </c>
    </row>
    <row r="470" spans="31:31" x14ac:dyDescent="0.25">
      <c r="AE470" t="s">
        <v>895</v>
      </c>
    </row>
    <row r="471" spans="31:31" x14ac:dyDescent="0.25">
      <c r="AE471" t="s">
        <v>896</v>
      </c>
    </row>
    <row r="472" spans="31:31" x14ac:dyDescent="0.25">
      <c r="AE472" t="s">
        <v>897</v>
      </c>
    </row>
    <row r="473" spans="31:31" x14ac:dyDescent="0.25">
      <c r="AE473" t="s">
        <v>898</v>
      </c>
    </row>
    <row r="474" spans="31:31" x14ac:dyDescent="0.25">
      <c r="AE474" t="s">
        <v>899</v>
      </c>
    </row>
    <row r="475" spans="31:31" x14ac:dyDescent="0.25">
      <c r="AE475" t="s">
        <v>900</v>
      </c>
    </row>
    <row r="476" spans="31:31" x14ac:dyDescent="0.25">
      <c r="AE476" t="s">
        <v>901</v>
      </c>
    </row>
    <row r="477" spans="31:31" x14ac:dyDescent="0.25">
      <c r="AE477" t="s">
        <v>902</v>
      </c>
    </row>
    <row r="478" spans="31:31" x14ac:dyDescent="0.25">
      <c r="AE478" t="s">
        <v>903</v>
      </c>
    </row>
    <row r="479" spans="31:31" x14ac:dyDescent="0.25">
      <c r="AE479" t="s">
        <v>904</v>
      </c>
    </row>
    <row r="480" spans="31:31" x14ac:dyDescent="0.25">
      <c r="AE480" t="s">
        <v>905</v>
      </c>
    </row>
    <row r="481" spans="31:31" x14ac:dyDescent="0.25">
      <c r="AE481" t="s">
        <v>906</v>
      </c>
    </row>
    <row r="482" spans="31:31" x14ac:dyDescent="0.25">
      <c r="AE482" t="s">
        <v>907</v>
      </c>
    </row>
    <row r="483" spans="31:31" x14ac:dyDescent="0.25">
      <c r="AE483" t="s">
        <v>908</v>
      </c>
    </row>
    <row r="484" spans="31:31" x14ac:dyDescent="0.25">
      <c r="AE484" t="s">
        <v>909</v>
      </c>
    </row>
    <row r="485" spans="31:31" x14ac:dyDescent="0.25">
      <c r="AE485" t="s">
        <v>910</v>
      </c>
    </row>
    <row r="486" spans="31:31" x14ac:dyDescent="0.25">
      <c r="AE486" t="s">
        <v>911</v>
      </c>
    </row>
    <row r="487" spans="31:31" x14ac:dyDescent="0.25">
      <c r="AE487" t="s">
        <v>912</v>
      </c>
    </row>
    <row r="488" spans="31:31" x14ac:dyDescent="0.25">
      <c r="AE488" t="s">
        <v>913</v>
      </c>
    </row>
    <row r="489" spans="31:31" x14ac:dyDescent="0.25">
      <c r="AE489" t="s">
        <v>914</v>
      </c>
    </row>
    <row r="490" spans="31:31" x14ac:dyDescent="0.25">
      <c r="AE490" t="s">
        <v>915</v>
      </c>
    </row>
    <row r="491" spans="31:31" x14ac:dyDescent="0.25">
      <c r="AE491" t="s">
        <v>916</v>
      </c>
    </row>
    <row r="492" spans="31:31" x14ac:dyDescent="0.25">
      <c r="AE492" t="s">
        <v>917</v>
      </c>
    </row>
    <row r="493" spans="31:31" x14ac:dyDescent="0.25">
      <c r="AE493" t="s">
        <v>918</v>
      </c>
    </row>
    <row r="494" spans="31:31" x14ac:dyDescent="0.25">
      <c r="AE494" t="s">
        <v>919</v>
      </c>
    </row>
    <row r="495" spans="31:31" x14ac:dyDescent="0.25">
      <c r="AE495" t="s">
        <v>920</v>
      </c>
    </row>
    <row r="496" spans="31:31" x14ac:dyDescent="0.25">
      <c r="AE496" t="s">
        <v>921</v>
      </c>
    </row>
    <row r="497" spans="31:31" x14ac:dyDescent="0.25">
      <c r="AE497" t="s">
        <v>922</v>
      </c>
    </row>
    <row r="498" spans="31:31" x14ac:dyDescent="0.25">
      <c r="AE498" t="s">
        <v>923</v>
      </c>
    </row>
    <row r="499" spans="31:31" x14ac:dyDescent="0.25">
      <c r="AE499" t="s">
        <v>924</v>
      </c>
    </row>
    <row r="500" spans="31:31" x14ac:dyDescent="0.25">
      <c r="AE500" t="s">
        <v>925</v>
      </c>
    </row>
    <row r="501" spans="31:31" x14ac:dyDescent="0.25">
      <c r="AE501" t="s">
        <v>926</v>
      </c>
    </row>
    <row r="502" spans="31:31" x14ac:dyDescent="0.25">
      <c r="AE502" t="s">
        <v>927</v>
      </c>
    </row>
    <row r="503" spans="31:31" x14ac:dyDescent="0.25">
      <c r="AE503" t="s">
        <v>928</v>
      </c>
    </row>
    <row r="504" spans="31:31" x14ac:dyDescent="0.25">
      <c r="AE504" t="s">
        <v>929</v>
      </c>
    </row>
    <row r="505" spans="31:31" x14ac:dyDescent="0.25">
      <c r="AE505" t="s">
        <v>930</v>
      </c>
    </row>
    <row r="506" spans="31:31" x14ac:dyDescent="0.25">
      <c r="AE506" t="s">
        <v>931</v>
      </c>
    </row>
    <row r="507" spans="31:31" x14ac:dyDescent="0.25">
      <c r="AE507" t="s">
        <v>932</v>
      </c>
    </row>
    <row r="508" spans="31:31" x14ac:dyDescent="0.25">
      <c r="AE508" t="s">
        <v>933</v>
      </c>
    </row>
    <row r="509" spans="31:31" x14ac:dyDescent="0.25">
      <c r="AE509" t="s">
        <v>934</v>
      </c>
    </row>
    <row r="510" spans="31:31" x14ac:dyDescent="0.25">
      <c r="AE510" t="s">
        <v>935</v>
      </c>
    </row>
    <row r="511" spans="31:31" x14ac:dyDescent="0.25">
      <c r="AE511" t="s">
        <v>936</v>
      </c>
    </row>
    <row r="512" spans="31:31" x14ac:dyDescent="0.25">
      <c r="AE512" t="s">
        <v>937</v>
      </c>
    </row>
    <row r="513" spans="31:31" x14ac:dyDescent="0.25">
      <c r="AE513" t="s">
        <v>938</v>
      </c>
    </row>
    <row r="514" spans="31:31" x14ac:dyDescent="0.25">
      <c r="AE514" t="s">
        <v>939</v>
      </c>
    </row>
    <row r="515" spans="31:31" x14ac:dyDescent="0.25">
      <c r="AE515" t="s">
        <v>940</v>
      </c>
    </row>
    <row r="516" spans="31:31" x14ac:dyDescent="0.25">
      <c r="AE516" t="s">
        <v>941</v>
      </c>
    </row>
    <row r="517" spans="31:31" x14ac:dyDescent="0.25">
      <c r="AE517" t="s">
        <v>942</v>
      </c>
    </row>
    <row r="518" spans="31:31" x14ac:dyDescent="0.25">
      <c r="AE518" t="s">
        <v>943</v>
      </c>
    </row>
    <row r="519" spans="31:31" x14ac:dyDescent="0.25">
      <c r="AE519" t="s">
        <v>944</v>
      </c>
    </row>
    <row r="520" spans="31:31" x14ac:dyDescent="0.25">
      <c r="AE520" t="s">
        <v>945</v>
      </c>
    </row>
    <row r="521" spans="31:31" x14ac:dyDescent="0.25">
      <c r="AE521" t="s">
        <v>946</v>
      </c>
    </row>
    <row r="522" spans="31:31" x14ac:dyDescent="0.25">
      <c r="AE522" t="s">
        <v>947</v>
      </c>
    </row>
    <row r="523" spans="31:31" x14ac:dyDescent="0.25">
      <c r="AE523" t="s">
        <v>948</v>
      </c>
    </row>
    <row r="524" spans="31:31" x14ac:dyDescent="0.25">
      <c r="AE524" t="s">
        <v>949</v>
      </c>
    </row>
    <row r="525" spans="31:31" x14ac:dyDescent="0.25">
      <c r="AE525" t="s">
        <v>950</v>
      </c>
    </row>
    <row r="526" spans="31:31" x14ac:dyDescent="0.25">
      <c r="AE526" t="s">
        <v>951</v>
      </c>
    </row>
    <row r="527" spans="31:31" x14ac:dyDescent="0.25">
      <c r="AE527" t="s">
        <v>952</v>
      </c>
    </row>
    <row r="528" spans="31:31" x14ac:dyDescent="0.25">
      <c r="AE528" t="s">
        <v>953</v>
      </c>
    </row>
    <row r="529" spans="31:31" x14ac:dyDescent="0.25">
      <c r="AE529" t="s">
        <v>954</v>
      </c>
    </row>
    <row r="530" spans="31:31" x14ac:dyDescent="0.25">
      <c r="AE530" t="s">
        <v>955</v>
      </c>
    </row>
    <row r="531" spans="31:31" x14ac:dyDescent="0.25">
      <c r="AE531" t="s">
        <v>956</v>
      </c>
    </row>
    <row r="532" spans="31:31" x14ac:dyDescent="0.25">
      <c r="AE532" t="s">
        <v>957</v>
      </c>
    </row>
    <row r="533" spans="31:31" x14ac:dyDescent="0.25">
      <c r="AE533" t="s">
        <v>958</v>
      </c>
    </row>
    <row r="534" spans="31:31" x14ac:dyDescent="0.25">
      <c r="AE534" t="s">
        <v>959</v>
      </c>
    </row>
    <row r="535" spans="31:31" x14ac:dyDescent="0.25">
      <c r="AE535" t="s">
        <v>960</v>
      </c>
    </row>
    <row r="536" spans="31:31" x14ac:dyDescent="0.25">
      <c r="AE536" t="s">
        <v>961</v>
      </c>
    </row>
    <row r="537" spans="31:31" x14ac:dyDescent="0.25">
      <c r="AE537" t="s">
        <v>962</v>
      </c>
    </row>
    <row r="538" spans="31:31" x14ac:dyDescent="0.25">
      <c r="AE538" t="s">
        <v>963</v>
      </c>
    </row>
    <row r="539" spans="31:31" x14ac:dyDescent="0.25">
      <c r="AE539" t="s">
        <v>964</v>
      </c>
    </row>
    <row r="540" spans="31:31" x14ac:dyDescent="0.25">
      <c r="AE540" t="s">
        <v>965</v>
      </c>
    </row>
    <row r="541" spans="31:31" x14ac:dyDescent="0.25">
      <c r="AE541" t="s">
        <v>966</v>
      </c>
    </row>
    <row r="542" spans="31:31" x14ac:dyDescent="0.25">
      <c r="AE542" t="s">
        <v>967</v>
      </c>
    </row>
    <row r="543" spans="31:31" x14ac:dyDescent="0.25">
      <c r="AE543" t="s">
        <v>968</v>
      </c>
    </row>
    <row r="544" spans="31:31" x14ac:dyDescent="0.25">
      <c r="AE544" t="s">
        <v>969</v>
      </c>
    </row>
    <row r="545" spans="31:31" x14ac:dyDescent="0.25">
      <c r="AE545" t="s">
        <v>970</v>
      </c>
    </row>
    <row r="546" spans="31:31" x14ac:dyDescent="0.25">
      <c r="AE546" t="s">
        <v>971</v>
      </c>
    </row>
    <row r="547" spans="31:31" x14ac:dyDescent="0.25">
      <c r="AE547" t="s">
        <v>972</v>
      </c>
    </row>
    <row r="548" spans="31:31" x14ac:dyDescent="0.25">
      <c r="AE548" t="s">
        <v>973</v>
      </c>
    </row>
    <row r="549" spans="31:31" x14ac:dyDescent="0.25">
      <c r="AE549" t="s">
        <v>974</v>
      </c>
    </row>
    <row r="550" spans="31:31" x14ac:dyDescent="0.25">
      <c r="AE550" t="s">
        <v>975</v>
      </c>
    </row>
    <row r="551" spans="31:31" x14ac:dyDescent="0.25">
      <c r="AE551" t="s">
        <v>976</v>
      </c>
    </row>
    <row r="552" spans="31:31" x14ac:dyDescent="0.25">
      <c r="AE552" t="s">
        <v>977</v>
      </c>
    </row>
    <row r="553" spans="31:31" x14ac:dyDescent="0.25">
      <c r="AE553" t="s">
        <v>978</v>
      </c>
    </row>
    <row r="554" spans="31:31" x14ac:dyDescent="0.25">
      <c r="AE554" t="s">
        <v>979</v>
      </c>
    </row>
    <row r="555" spans="31:31" x14ac:dyDescent="0.25">
      <c r="AE555" t="s">
        <v>980</v>
      </c>
    </row>
    <row r="556" spans="31:31" x14ac:dyDescent="0.25">
      <c r="AE556" t="s">
        <v>981</v>
      </c>
    </row>
    <row r="557" spans="31:31" x14ac:dyDescent="0.25">
      <c r="AE557" t="s">
        <v>982</v>
      </c>
    </row>
    <row r="558" spans="31:31" x14ac:dyDescent="0.25">
      <c r="AE558" t="s">
        <v>983</v>
      </c>
    </row>
    <row r="559" spans="31:31" x14ac:dyDescent="0.25">
      <c r="AE559" t="s">
        <v>984</v>
      </c>
    </row>
    <row r="560" spans="31:31" x14ac:dyDescent="0.25">
      <c r="AE560" t="s">
        <v>985</v>
      </c>
    </row>
    <row r="561" spans="31:31" x14ac:dyDescent="0.25">
      <c r="AE561" t="s">
        <v>986</v>
      </c>
    </row>
    <row r="562" spans="31:31" x14ac:dyDescent="0.25">
      <c r="AE562" t="s">
        <v>987</v>
      </c>
    </row>
    <row r="563" spans="31:31" x14ac:dyDescent="0.25">
      <c r="AE563" t="s">
        <v>988</v>
      </c>
    </row>
    <row r="564" spans="31:31" x14ac:dyDescent="0.25">
      <c r="AE564" t="s">
        <v>989</v>
      </c>
    </row>
    <row r="565" spans="31:31" x14ac:dyDescent="0.25">
      <c r="AE565" t="s">
        <v>990</v>
      </c>
    </row>
    <row r="566" spans="31:31" x14ac:dyDescent="0.25">
      <c r="AE566" t="s">
        <v>991</v>
      </c>
    </row>
    <row r="567" spans="31:31" x14ac:dyDescent="0.25">
      <c r="AE567" t="s">
        <v>992</v>
      </c>
    </row>
    <row r="568" spans="31:31" x14ac:dyDescent="0.25">
      <c r="AE568" t="s">
        <v>993</v>
      </c>
    </row>
    <row r="569" spans="31:31" x14ac:dyDescent="0.25">
      <c r="AE569" t="s">
        <v>994</v>
      </c>
    </row>
    <row r="570" spans="31:31" x14ac:dyDescent="0.25">
      <c r="AE570" t="s">
        <v>995</v>
      </c>
    </row>
    <row r="571" spans="31:31" x14ac:dyDescent="0.25">
      <c r="AE571" t="s">
        <v>996</v>
      </c>
    </row>
    <row r="572" spans="31:31" x14ac:dyDescent="0.25">
      <c r="AE572" t="s">
        <v>997</v>
      </c>
    </row>
    <row r="573" spans="31:31" x14ac:dyDescent="0.25">
      <c r="AE573" t="s">
        <v>998</v>
      </c>
    </row>
    <row r="574" spans="31:31" x14ac:dyDescent="0.25">
      <c r="AE574" t="s">
        <v>999</v>
      </c>
    </row>
    <row r="575" spans="31:31" x14ac:dyDescent="0.25">
      <c r="AE575" t="s">
        <v>1000</v>
      </c>
    </row>
    <row r="576" spans="31:31" x14ac:dyDescent="0.25">
      <c r="AE576" t="s">
        <v>1001</v>
      </c>
    </row>
    <row r="577" spans="31:31" x14ac:dyDescent="0.25">
      <c r="AE577" t="s">
        <v>1002</v>
      </c>
    </row>
    <row r="578" spans="31:31" x14ac:dyDescent="0.25">
      <c r="AE578" t="s">
        <v>1003</v>
      </c>
    </row>
    <row r="579" spans="31:31" x14ac:dyDescent="0.25">
      <c r="AE579" t="s">
        <v>1004</v>
      </c>
    </row>
    <row r="580" spans="31:31" x14ac:dyDescent="0.25">
      <c r="AE580" t="s">
        <v>1005</v>
      </c>
    </row>
    <row r="581" spans="31:31" x14ac:dyDescent="0.25">
      <c r="AE581" t="s">
        <v>1006</v>
      </c>
    </row>
    <row r="582" spans="31:31" x14ac:dyDescent="0.25">
      <c r="AE582" t="s">
        <v>1007</v>
      </c>
    </row>
    <row r="583" spans="31:31" x14ac:dyDescent="0.25">
      <c r="AE583" t="s">
        <v>1008</v>
      </c>
    </row>
    <row r="584" spans="31:31" x14ac:dyDescent="0.25">
      <c r="AE584" t="s">
        <v>1009</v>
      </c>
    </row>
    <row r="585" spans="31:31" x14ac:dyDescent="0.25">
      <c r="AE585" t="s">
        <v>1010</v>
      </c>
    </row>
    <row r="586" spans="31:31" x14ac:dyDescent="0.25">
      <c r="AE586" t="s">
        <v>1011</v>
      </c>
    </row>
    <row r="587" spans="31:31" x14ac:dyDescent="0.25">
      <c r="AE587" t="s">
        <v>1012</v>
      </c>
    </row>
    <row r="588" spans="31:31" x14ac:dyDescent="0.25">
      <c r="AE588" t="s">
        <v>1013</v>
      </c>
    </row>
    <row r="589" spans="31:31" x14ac:dyDescent="0.25">
      <c r="AE589" t="s">
        <v>1014</v>
      </c>
    </row>
    <row r="590" spans="31:31" x14ac:dyDescent="0.25">
      <c r="AE590" t="s">
        <v>1015</v>
      </c>
    </row>
    <row r="591" spans="31:31" x14ac:dyDescent="0.25">
      <c r="AE591" t="s">
        <v>1016</v>
      </c>
    </row>
    <row r="592" spans="31:31" x14ac:dyDescent="0.25">
      <c r="AE592" t="s">
        <v>1017</v>
      </c>
    </row>
    <row r="593" spans="31:31" x14ac:dyDescent="0.25">
      <c r="AE593" t="s">
        <v>1018</v>
      </c>
    </row>
    <row r="594" spans="31:31" x14ac:dyDescent="0.25">
      <c r="AE594" t="s">
        <v>1019</v>
      </c>
    </row>
    <row r="595" spans="31:31" x14ac:dyDescent="0.25">
      <c r="AE595" t="s">
        <v>1020</v>
      </c>
    </row>
    <row r="596" spans="31:31" x14ac:dyDescent="0.25">
      <c r="AE596" t="s">
        <v>1021</v>
      </c>
    </row>
    <row r="597" spans="31:31" x14ac:dyDescent="0.25">
      <c r="AE597" t="s">
        <v>1022</v>
      </c>
    </row>
    <row r="598" spans="31:31" x14ac:dyDescent="0.25">
      <c r="AE598" t="s">
        <v>1023</v>
      </c>
    </row>
    <row r="599" spans="31:31" x14ac:dyDescent="0.25">
      <c r="AE599" t="s">
        <v>1024</v>
      </c>
    </row>
    <row r="600" spans="31:31" x14ac:dyDescent="0.25">
      <c r="AE600" t="s">
        <v>1025</v>
      </c>
    </row>
    <row r="601" spans="31:31" x14ac:dyDescent="0.25">
      <c r="AE601" t="s">
        <v>1026</v>
      </c>
    </row>
    <row r="602" spans="31:31" x14ac:dyDescent="0.25">
      <c r="AE602" t="s">
        <v>1027</v>
      </c>
    </row>
    <row r="603" spans="31:31" x14ac:dyDescent="0.25">
      <c r="AE603" t="s">
        <v>1028</v>
      </c>
    </row>
    <row r="604" spans="31:31" x14ac:dyDescent="0.25">
      <c r="AE604" t="s">
        <v>1029</v>
      </c>
    </row>
    <row r="605" spans="31:31" x14ac:dyDescent="0.25">
      <c r="AE605" t="s">
        <v>1030</v>
      </c>
    </row>
    <row r="606" spans="31:31" x14ac:dyDescent="0.25">
      <c r="AE606" t="s">
        <v>1031</v>
      </c>
    </row>
    <row r="607" spans="31:31" x14ac:dyDescent="0.25">
      <c r="AE607" t="s">
        <v>1032</v>
      </c>
    </row>
    <row r="608" spans="31:31" x14ac:dyDescent="0.25">
      <c r="AE608" t="s">
        <v>1033</v>
      </c>
    </row>
    <row r="609" spans="31:31" x14ac:dyDescent="0.25">
      <c r="AE609" t="s">
        <v>1034</v>
      </c>
    </row>
    <row r="610" spans="31:31" x14ac:dyDescent="0.25">
      <c r="AE610" t="s">
        <v>1035</v>
      </c>
    </row>
    <row r="611" spans="31:31" x14ac:dyDescent="0.25">
      <c r="AE611" t="s">
        <v>1036</v>
      </c>
    </row>
    <row r="612" spans="31:31" x14ac:dyDescent="0.25">
      <c r="AE612" t="s">
        <v>1037</v>
      </c>
    </row>
    <row r="613" spans="31:31" x14ac:dyDescent="0.25">
      <c r="AE613" t="s">
        <v>1038</v>
      </c>
    </row>
    <row r="614" spans="31:31" x14ac:dyDescent="0.25">
      <c r="AE614" t="s">
        <v>1039</v>
      </c>
    </row>
    <row r="615" spans="31:31" x14ac:dyDescent="0.25">
      <c r="AE615" t="s">
        <v>1040</v>
      </c>
    </row>
    <row r="616" spans="31:31" x14ac:dyDescent="0.25">
      <c r="AE616" t="s">
        <v>1041</v>
      </c>
    </row>
    <row r="617" spans="31:31" x14ac:dyDescent="0.25">
      <c r="AE617" t="s">
        <v>1042</v>
      </c>
    </row>
    <row r="618" spans="31:31" x14ac:dyDescent="0.25">
      <c r="AE618" t="s">
        <v>1043</v>
      </c>
    </row>
    <row r="619" spans="31:31" x14ac:dyDescent="0.25">
      <c r="AE619" t="s">
        <v>1044</v>
      </c>
    </row>
    <row r="620" spans="31:31" x14ac:dyDescent="0.25">
      <c r="AE620" t="s">
        <v>1045</v>
      </c>
    </row>
    <row r="621" spans="31:31" x14ac:dyDescent="0.25">
      <c r="AE621" t="s">
        <v>1046</v>
      </c>
    </row>
    <row r="622" spans="31:31" x14ac:dyDescent="0.25">
      <c r="AE622" t="s">
        <v>1047</v>
      </c>
    </row>
    <row r="623" spans="31:31" x14ac:dyDescent="0.25">
      <c r="AE623" t="s">
        <v>1048</v>
      </c>
    </row>
    <row r="624" spans="31:31" x14ac:dyDescent="0.25">
      <c r="AE624" t="s">
        <v>1049</v>
      </c>
    </row>
    <row r="625" spans="31:31" x14ac:dyDescent="0.25">
      <c r="AE625" t="s">
        <v>1050</v>
      </c>
    </row>
    <row r="626" spans="31:31" x14ac:dyDescent="0.25">
      <c r="AE626" t="s">
        <v>1051</v>
      </c>
    </row>
    <row r="627" spans="31:31" x14ac:dyDescent="0.25">
      <c r="AE627" t="s">
        <v>1052</v>
      </c>
    </row>
    <row r="628" spans="31:31" x14ac:dyDescent="0.25">
      <c r="AE628" t="s">
        <v>1053</v>
      </c>
    </row>
    <row r="629" spans="31:31" x14ac:dyDescent="0.25">
      <c r="AE629" t="s">
        <v>1054</v>
      </c>
    </row>
    <row r="630" spans="31:31" x14ac:dyDescent="0.25">
      <c r="AE630" t="s">
        <v>1055</v>
      </c>
    </row>
    <row r="631" spans="31:31" x14ac:dyDescent="0.25">
      <c r="AE631" t="s">
        <v>1056</v>
      </c>
    </row>
    <row r="632" spans="31:31" x14ac:dyDescent="0.25">
      <c r="AE632" t="s">
        <v>1057</v>
      </c>
    </row>
    <row r="633" spans="31:31" x14ac:dyDescent="0.25">
      <c r="AE633" t="s">
        <v>1058</v>
      </c>
    </row>
    <row r="634" spans="31:31" x14ac:dyDescent="0.25">
      <c r="AE634" t="s">
        <v>1059</v>
      </c>
    </row>
    <row r="635" spans="31:31" x14ac:dyDescent="0.25">
      <c r="AE635" t="s">
        <v>1060</v>
      </c>
    </row>
    <row r="636" spans="31:31" x14ac:dyDescent="0.25">
      <c r="AE636" t="s">
        <v>1061</v>
      </c>
    </row>
    <row r="637" spans="31:31" x14ac:dyDescent="0.25">
      <c r="AE637" t="s">
        <v>1062</v>
      </c>
    </row>
    <row r="638" spans="31:31" x14ac:dyDescent="0.25">
      <c r="AE638" t="s">
        <v>1063</v>
      </c>
    </row>
    <row r="639" spans="31:31" x14ac:dyDescent="0.25">
      <c r="AE639" t="s">
        <v>1064</v>
      </c>
    </row>
    <row r="640" spans="31:31" x14ac:dyDescent="0.25">
      <c r="AE640" t="s">
        <v>1065</v>
      </c>
    </row>
    <row r="641" spans="31:31" x14ac:dyDescent="0.25">
      <c r="AE641" t="s">
        <v>1066</v>
      </c>
    </row>
    <row r="642" spans="31:31" x14ac:dyDescent="0.25">
      <c r="AE642" t="s">
        <v>1067</v>
      </c>
    </row>
    <row r="643" spans="31:31" x14ac:dyDescent="0.25">
      <c r="AE643" t="s">
        <v>1068</v>
      </c>
    </row>
    <row r="644" spans="31:31" x14ac:dyDescent="0.25">
      <c r="AE644" t="s">
        <v>1069</v>
      </c>
    </row>
    <row r="645" spans="31:31" x14ac:dyDescent="0.25">
      <c r="AE645" t="s">
        <v>1070</v>
      </c>
    </row>
    <row r="646" spans="31:31" x14ac:dyDescent="0.25">
      <c r="AE646" t="s">
        <v>1071</v>
      </c>
    </row>
    <row r="647" spans="31:31" x14ac:dyDescent="0.25">
      <c r="AE647" t="s">
        <v>1072</v>
      </c>
    </row>
    <row r="648" spans="31:31" x14ac:dyDescent="0.25">
      <c r="AE648" t="s">
        <v>1073</v>
      </c>
    </row>
    <row r="649" spans="31:31" x14ac:dyDescent="0.25">
      <c r="AE649" t="s">
        <v>1074</v>
      </c>
    </row>
    <row r="650" spans="31:31" x14ac:dyDescent="0.25">
      <c r="AE650" t="s">
        <v>1075</v>
      </c>
    </row>
    <row r="651" spans="31:31" x14ac:dyDescent="0.25">
      <c r="AE651" t="s">
        <v>1076</v>
      </c>
    </row>
    <row r="652" spans="31:31" x14ac:dyDescent="0.25">
      <c r="AE652" t="s">
        <v>1077</v>
      </c>
    </row>
    <row r="653" spans="31:31" x14ac:dyDescent="0.25">
      <c r="AE653" t="s">
        <v>1078</v>
      </c>
    </row>
    <row r="654" spans="31:31" x14ac:dyDescent="0.25">
      <c r="AE654" t="s">
        <v>1079</v>
      </c>
    </row>
    <row r="655" spans="31:31" x14ac:dyDescent="0.25">
      <c r="AE655" t="s">
        <v>1080</v>
      </c>
    </row>
    <row r="656" spans="31:31" x14ac:dyDescent="0.25">
      <c r="AE656" t="s">
        <v>1081</v>
      </c>
    </row>
    <row r="657" spans="31:31" x14ac:dyDescent="0.25">
      <c r="AE657" t="s">
        <v>1082</v>
      </c>
    </row>
    <row r="658" spans="31:31" x14ac:dyDescent="0.25">
      <c r="AE658" t="s">
        <v>1083</v>
      </c>
    </row>
    <row r="659" spans="31:31" x14ac:dyDescent="0.25">
      <c r="AE659" t="s">
        <v>1084</v>
      </c>
    </row>
    <row r="660" spans="31:31" x14ac:dyDescent="0.25">
      <c r="AE660" t="s">
        <v>1085</v>
      </c>
    </row>
    <row r="661" spans="31:31" x14ac:dyDescent="0.25">
      <c r="AE661" t="s">
        <v>1086</v>
      </c>
    </row>
    <row r="662" spans="31:31" x14ac:dyDescent="0.25">
      <c r="AE662" t="s">
        <v>1087</v>
      </c>
    </row>
    <row r="663" spans="31:31" x14ac:dyDescent="0.25">
      <c r="AE663" t="s">
        <v>1088</v>
      </c>
    </row>
    <row r="664" spans="31:31" x14ac:dyDescent="0.25">
      <c r="AE664" t="s">
        <v>1089</v>
      </c>
    </row>
    <row r="665" spans="31:31" x14ac:dyDescent="0.25">
      <c r="AE665" t="s">
        <v>1090</v>
      </c>
    </row>
    <row r="666" spans="31:31" x14ac:dyDescent="0.25">
      <c r="AE666" t="s">
        <v>1091</v>
      </c>
    </row>
    <row r="667" spans="31:31" x14ac:dyDescent="0.25">
      <c r="AE667" t="s">
        <v>1092</v>
      </c>
    </row>
    <row r="668" spans="31:31" x14ac:dyDescent="0.25">
      <c r="AE668" t="s">
        <v>1093</v>
      </c>
    </row>
    <row r="669" spans="31:31" x14ac:dyDescent="0.25">
      <c r="AE669" t="s">
        <v>1094</v>
      </c>
    </row>
    <row r="670" spans="31:31" x14ac:dyDescent="0.25">
      <c r="AE670" t="s">
        <v>1095</v>
      </c>
    </row>
    <row r="671" spans="31:31" x14ac:dyDescent="0.25">
      <c r="AE671" t="s">
        <v>1096</v>
      </c>
    </row>
    <row r="672" spans="31:31" x14ac:dyDescent="0.25">
      <c r="AE672" t="s">
        <v>1097</v>
      </c>
    </row>
    <row r="673" spans="31:31" x14ac:dyDescent="0.25">
      <c r="AE673" t="s">
        <v>1098</v>
      </c>
    </row>
    <row r="674" spans="31:31" x14ac:dyDescent="0.25">
      <c r="AE674" t="s">
        <v>1099</v>
      </c>
    </row>
    <row r="675" spans="31:31" x14ac:dyDescent="0.25">
      <c r="AE675" t="s">
        <v>1100</v>
      </c>
    </row>
    <row r="676" spans="31:31" x14ac:dyDescent="0.25">
      <c r="AE676" t="s">
        <v>1101</v>
      </c>
    </row>
    <row r="677" spans="31:31" x14ac:dyDescent="0.25">
      <c r="AE677" t="s">
        <v>1102</v>
      </c>
    </row>
    <row r="678" spans="31:31" x14ac:dyDescent="0.25">
      <c r="AE678" t="s">
        <v>1103</v>
      </c>
    </row>
    <row r="679" spans="31:31" x14ac:dyDescent="0.25">
      <c r="AE679" t="s">
        <v>1104</v>
      </c>
    </row>
    <row r="680" spans="31:31" x14ac:dyDescent="0.25">
      <c r="AE680" t="s">
        <v>1105</v>
      </c>
    </row>
    <row r="681" spans="31:31" x14ac:dyDescent="0.25">
      <c r="AE681" t="s">
        <v>1106</v>
      </c>
    </row>
    <row r="682" spans="31:31" x14ac:dyDescent="0.25">
      <c r="AE682" t="s">
        <v>1107</v>
      </c>
    </row>
    <row r="683" spans="31:31" x14ac:dyDescent="0.25">
      <c r="AE683" t="s">
        <v>1108</v>
      </c>
    </row>
    <row r="684" spans="31:31" x14ac:dyDescent="0.25">
      <c r="AE684" t="s">
        <v>1109</v>
      </c>
    </row>
    <row r="685" spans="31:31" x14ac:dyDescent="0.25">
      <c r="AE685" t="s">
        <v>1110</v>
      </c>
    </row>
    <row r="686" spans="31:31" x14ac:dyDescent="0.25">
      <c r="AE686" t="s">
        <v>1111</v>
      </c>
    </row>
    <row r="687" spans="31:31" x14ac:dyDescent="0.25">
      <c r="AE687" t="s">
        <v>1112</v>
      </c>
    </row>
    <row r="688" spans="31:31" x14ac:dyDescent="0.25">
      <c r="AE688" t="s">
        <v>1113</v>
      </c>
    </row>
    <row r="689" spans="31:31" x14ac:dyDescent="0.25">
      <c r="AE689" t="s">
        <v>1114</v>
      </c>
    </row>
    <row r="690" spans="31:31" x14ac:dyDescent="0.25">
      <c r="AE690" t="s">
        <v>1115</v>
      </c>
    </row>
    <row r="691" spans="31:31" x14ac:dyDescent="0.25">
      <c r="AE691" t="s">
        <v>1116</v>
      </c>
    </row>
    <row r="692" spans="31:31" x14ac:dyDescent="0.25">
      <c r="AE692" t="s">
        <v>1117</v>
      </c>
    </row>
    <row r="693" spans="31:31" x14ac:dyDescent="0.25">
      <c r="AE693" t="s">
        <v>1118</v>
      </c>
    </row>
    <row r="694" spans="31:31" x14ac:dyDescent="0.25">
      <c r="AE694" t="s">
        <v>1119</v>
      </c>
    </row>
    <row r="695" spans="31:31" x14ac:dyDescent="0.25">
      <c r="AE695" t="s">
        <v>1120</v>
      </c>
    </row>
    <row r="696" spans="31:31" x14ac:dyDescent="0.25">
      <c r="AE696" t="s">
        <v>1121</v>
      </c>
    </row>
    <row r="697" spans="31:31" x14ac:dyDescent="0.25">
      <c r="AE697" t="s">
        <v>1122</v>
      </c>
    </row>
    <row r="698" spans="31:31" x14ac:dyDescent="0.25">
      <c r="AE698" t="s">
        <v>1123</v>
      </c>
    </row>
    <row r="699" spans="31:31" x14ac:dyDescent="0.25">
      <c r="AE699" t="s">
        <v>1124</v>
      </c>
    </row>
    <row r="700" spans="31:31" x14ac:dyDescent="0.25">
      <c r="AE700" t="s">
        <v>1125</v>
      </c>
    </row>
    <row r="701" spans="31:31" x14ac:dyDescent="0.25">
      <c r="AE701" t="s">
        <v>1126</v>
      </c>
    </row>
    <row r="702" spans="31:31" x14ac:dyDescent="0.25">
      <c r="AE702" t="s">
        <v>1127</v>
      </c>
    </row>
    <row r="703" spans="31:31" x14ac:dyDescent="0.25">
      <c r="AE703" t="s">
        <v>1128</v>
      </c>
    </row>
    <row r="704" spans="31:31" x14ac:dyDescent="0.25">
      <c r="AE704" t="s">
        <v>1129</v>
      </c>
    </row>
    <row r="705" spans="31:31" x14ac:dyDescent="0.25">
      <c r="AE705" t="s">
        <v>1130</v>
      </c>
    </row>
    <row r="706" spans="31:31" x14ac:dyDescent="0.25">
      <c r="AE706" t="s">
        <v>1131</v>
      </c>
    </row>
    <row r="707" spans="31:31" x14ac:dyDescent="0.25">
      <c r="AE707" t="s">
        <v>1132</v>
      </c>
    </row>
    <row r="708" spans="31:31" x14ac:dyDescent="0.25">
      <c r="AE708" t="s">
        <v>1133</v>
      </c>
    </row>
    <row r="709" spans="31:31" x14ac:dyDescent="0.25">
      <c r="AE709" t="s">
        <v>1134</v>
      </c>
    </row>
    <row r="710" spans="31:31" x14ac:dyDescent="0.25">
      <c r="AE710" t="s">
        <v>1135</v>
      </c>
    </row>
    <row r="711" spans="31:31" x14ac:dyDescent="0.25">
      <c r="AE711" t="s">
        <v>1136</v>
      </c>
    </row>
    <row r="712" spans="31:31" x14ac:dyDescent="0.25">
      <c r="AE712" t="s">
        <v>1137</v>
      </c>
    </row>
    <row r="713" spans="31:31" x14ac:dyDescent="0.25">
      <c r="AE713" t="s">
        <v>1138</v>
      </c>
    </row>
    <row r="714" spans="31:31" x14ac:dyDescent="0.25">
      <c r="AE714" t="s">
        <v>1139</v>
      </c>
    </row>
    <row r="715" spans="31:31" x14ac:dyDescent="0.25">
      <c r="AE715" t="s">
        <v>1140</v>
      </c>
    </row>
    <row r="716" spans="31:31" x14ac:dyDescent="0.25">
      <c r="AE716" t="s">
        <v>1141</v>
      </c>
    </row>
    <row r="717" spans="31:31" x14ac:dyDescent="0.25">
      <c r="AE717" t="s">
        <v>1142</v>
      </c>
    </row>
    <row r="718" spans="31:31" x14ac:dyDescent="0.25">
      <c r="AE718" t="s">
        <v>1143</v>
      </c>
    </row>
    <row r="719" spans="31:31" x14ac:dyDescent="0.25">
      <c r="AE719" t="s">
        <v>1144</v>
      </c>
    </row>
    <row r="720" spans="31:31" x14ac:dyDescent="0.25">
      <c r="AE720" t="s">
        <v>1145</v>
      </c>
    </row>
    <row r="721" spans="31:31" x14ac:dyDescent="0.25">
      <c r="AE721" t="s">
        <v>1146</v>
      </c>
    </row>
    <row r="722" spans="31:31" x14ac:dyDescent="0.25">
      <c r="AE722" t="s">
        <v>1147</v>
      </c>
    </row>
    <row r="723" spans="31:31" x14ac:dyDescent="0.25">
      <c r="AE723" t="s">
        <v>1148</v>
      </c>
    </row>
    <row r="724" spans="31:31" x14ac:dyDescent="0.25">
      <c r="AE724" t="s">
        <v>1149</v>
      </c>
    </row>
    <row r="725" spans="31:31" x14ac:dyDescent="0.25">
      <c r="AE725" t="s">
        <v>1150</v>
      </c>
    </row>
    <row r="726" spans="31:31" x14ac:dyDescent="0.25">
      <c r="AE726" t="s">
        <v>1151</v>
      </c>
    </row>
    <row r="727" spans="31:31" x14ac:dyDescent="0.25">
      <c r="AE727" t="s">
        <v>1152</v>
      </c>
    </row>
    <row r="728" spans="31:31" x14ac:dyDescent="0.25">
      <c r="AE728" t="s">
        <v>1153</v>
      </c>
    </row>
    <row r="729" spans="31:31" x14ac:dyDescent="0.25">
      <c r="AE729" t="s">
        <v>1154</v>
      </c>
    </row>
    <row r="730" spans="31:31" x14ac:dyDescent="0.25">
      <c r="AE730" t="s">
        <v>1155</v>
      </c>
    </row>
    <row r="731" spans="31:31" x14ac:dyDescent="0.25">
      <c r="AE731" t="s">
        <v>1156</v>
      </c>
    </row>
    <row r="732" spans="31:31" x14ac:dyDescent="0.25">
      <c r="AE732" t="s">
        <v>1157</v>
      </c>
    </row>
    <row r="733" spans="31:31" x14ac:dyDescent="0.25">
      <c r="AE733" t="s">
        <v>1158</v>
      </c>
    </row>
    <row r="734" spans="31:31" x14ac:dyDescent="0.25">
      <c r="AE734" t="s">
        <v>1159</v>
      </c>
    </row>
    <row r="735" spans="31:31" x14ac:dyDescent="0.25">
      <c r="AE735" t="s">
        <v>1160</v>
      </c>
    </row>
    <row r="736" spans="31:31" x14ac:dyDescent="0.25">
      <c r="AE736" t="s">
        <v>1161</v>
      </c>
    </row>
    <row r="737" spans="31:31" x14ac:dyDescent="0.25">
      <c r="AE737" t="s">
        <v>1162</v>
      </c>
    </row>
    <row r="738" spans="31:31" x14ac:dyDescent="0.25">
      <c r="AE738" t="s">
        <v>1163</v>
      </c>
    </row>
    <row r="739" spans="31:31" x14ac:dyDescent="0.25">
      <c r="AE739" t="s">
        <v>1164</v>
      </c>
    </row>
    <row r="740" spans="31:31" x14ac:dyDescent="0.25">
      <c r="AE740" t="s">
        <v>1165</v>
      </c>
    </row>
    <row r="741" spans="31:31" x14ac:dyDescent="0.25">
      <c r="AE741" t="s">
        <v>1166</v>
      </c>
    </row>
    <row r="742" spans="31:31" x14ac:dyDescent="0.25">
      <c r="AE742" t="s">
        <v>1167</v>
      </c>
    </row>
    <row r="743" spans="31:31" x14ac:dyDescent="0.25">
      <c r="AE743" t="s">
        <v>1168</v>
      </c>
    </row>
    <row r="744" spans="31:31" x14ac:dyDescent="0.25">
      <c r="AE744" t="s">
        <v>1169</v>
      </c>
    </row>
    <row r="745" spans="31:31" x14ac:dyDescent="0.25">
      <c r="AE745" t="s">
        <v>1170</v>
      </c>
    </row>
    <row r="746" spans="31:31" x14ac:dyDescent="0.25">
      <c r="AE746" t="s">
        <v>1171</v>
      </c>
    </row>
    <row r="747" spans="31:31" x14ac:dyDescent="0.25">
      <c r="AE747" t="s">
        <v>1172</v>
      </c>
    </row>
    <row r="748" spans="31:31" x14ac:dyDescent="0.25">
      <c r="AE748" t="s">
        <v>1173</v>
      </c>
    </row>
    <row r="749" spans="31:31" x14ac:dyDescent="0.25">
      <c r="AE749" t="s">
        <v>1174</v>
      </c>
    </row>
    <row r="750" spans="31:31" x14ac:dyDescent="0.25">
      <c r="AE750" t="s">
        <v>1175</v>
      </c>
    </row>
    <row r="751" spans="31:31" x14ac:dyDescent="0.25">
      <c r="AE751" t="s">
        <v>1176</v>
      </c>
    </row>
    <row r="752" spans="31:31" x14ac:dyDescent="0.25">
      <c r="AE752" t="s">
        <v>1177</v>
      </c>
    </row>
    <row r="753" spans="31:31" x14ac:dyDescent="0.25">
      <c r="AE753" t="s">
        <v>1178</v>
      </c>
    </row>
    <row r="754" spans="31:31" x14ac:dyDescent="0.25">
      <c r="AE754" t="s">
        <v>1179</v>
      </c>
    </row>
    <row r="755" spans="31:31" x14ac:dyDescent="0.25">
      <c r="AE755" t="s">
        <v>1180</v>
      </c>
    </row>
    <row r="756" spans="31:31" x14ac:dyDescent="0.25">
      <c r="AE756" t="s">
        <v>1181</v>
      </c>
    </row>
    <row r="757" spans="31:31" x14ac:dyDescent="0.25">
      <c r="AE757" t="s">
        <v>1182</v>
      </c>
    </row>
    <row r="758" spans="31:31" x14ac:dyDescent="0.25">
      <c r="AE758" t="s">
        <v>1183</v>
      </c>
    </row>
    <row r="759" spans="31:31" x14ac:dyDescent="0.25">
      <c r="AE759" t="s">
        <v>1184</v>
      </c>
    </row>
    <row r="760" spans="31:31" x14ac:dyDescent="0.25">
      <c r="AE760" t="s">
        <v>1185</v>
      </c>
    </row>
    <row r="761" spans="31:31" x14ac:dyDescent="0.25">
      <c r="AE761" t="s">
        <v>1186</v>
      </c>
    </row>
    <row r="762" spans="31:31" x14ac:dyDescent="0.25">
      <c r="AE762" t="s">
        <v>1187</v>
      </c>
    </row>
    <row r="763" spans="31:31" x14ac:dyDescent="0.25">
      <c r="AE763" t="s">
        <v>1188</v>
      </c>
    </row>
    <row r="764" spans="31:31" x14ac:dyDescent="0.25">
      <c r="AE764" t="s">
        <v>1189</v>
      </c>
    </row>
    <row r="765" spans="31:31" x14ac:dyDescent="0.25">
      <c r="AE765" t="s">
        <v>1190</v>
      </c>
    </row>
    <row r="766" spans="31:31" x14ac:dyDescent="0.25">
      <c r="AE766" t="s">
        <v>1191</v>
      </c>
    </row>
    <row r="767" spans="31:31" x14ac:dyDescent="0.25">
      <c r="AE767" t="s">
        <v>1192</v>
      </c>
    </row>
    <row r="768" spans="31:31" x14ac:dyDescent="0.25">
      <c r="AE768" t="s">
        <v>1193</v>
      </c>
    </row>
    <row r="769" spans="31:31" x14ac:dyDescent="0.25">
      <c r="AE769" t="s">
        <v>1194</v>
      </c>
    </row>
    <row r="770" spans="31:31" x14ac:dyDescent="0.25">
      <c r="AE770" t="s">
        <v>1195</v>
      </c>
    </row>
    <row r="771" spans="31:31" x14ac:dyDescent="0.25">
      <c r="AE771" t="s">
        <v>1196</v>
      </c>
    </row>
    <row r="772" spans="31:31" x14ac:dyDescent="0.25">
      <c r="AE772" t="s">
        <v>1197</v>
      </c>
    </row>
    <row r="773" spans="31:31" x14ac:dyDescent="0.25">
      <c r="AE773" t="s">
        <v>1198</v>
      </c>
    </row>
    <row r="774" spans="31:31" x14ac:dyDescent="0.25">
      <c r="AE774" t="s">
        <v>1199</v>
      </c>
    </row>
    <row r="775" spans="31:31" x14ac:dyDescent="0.25">
      <c r="AE775" t="s">
        <v>1200</v>
      </c>
    </row>
    <row r="776" spans="31:31" x14ac:dyDescent="0.25">
      <c r="AE776" t="s">
        <v>1201</v>
      </c>
    </row>
    <row r="777" spans="31:31" x14ac:dyDescent="0.25">
      <c r="AE777" t="s">
        <v>1202</v>
      </c>
    </row>
    <row r="778" spans="31:31" x14ac:dyDescent="0.25">
      <c r="AE778" t="s">
        <v>1203</v>
      </c>
    </row>
    <row r="779" spans="31:31" x14ac:dyDescent="0.25">
      <c r="AE779" t="s">
        <v>1204</v>
      </c>
    </row>
    <row r="780" spans="31:31" x14ac:dyDescent="0.25">
      <c r="AE780" t="s">
        <v>1205</v>
      </c>
    </row>
    <row r="781" spans="31:31" x14ac:dyDescent="0.25">
      <c r="AE781" t="s">
        <v>1206</v>
      </c>
    </row>
    <row r="782" spans="31:31" x14ac:dyDescent="0.25">
      <c r="AE782" t="s">
        <v>1207</v>
      </c>
    </row>
    <row r="783" spans="31:31" x14ac:dyDescent="0.25">
      <c r="AE783" t="s">
        <v>1208</v>
      </c>
    </row>
    <row r="784" spans="31:31" x14ac:dyDescent="0.25">
      <c r="AE784" t="s">
        <v>1209</v>
      </c>
    </row>
    <row r="785" spans="31:31" x14ac:dyDescent="0.25">
      <c r="AE785" t="s">
        <v>1210</v>
      </c>
    </row>
    <row r="786" spans="31:31" x14ac:dyDescent="0.25">
      <c r="AE786" t="s">
        <v>1211</v>
      </c>
    </row>
    <row r="787" spans="31:31" x14ac:dyDescent="0.25">
      <c r="AE787" t="s">
        <v>1212</v>
      </c>
    </row>
    <row r="788" spans="31:31" x14ac:dyDescent="0.25">
      <c r="AE788" t="s">
        <v>1213</v>
      </c>
    </row>
    <row r="789" spans="31:31" x14ac:dyDescent="0.25">
      <c r="AE789" t="s">
        <v>1214</v>
      </c>
    </row>
    <row r="790" spans="31:31" x14ac:dyDescent="0.25">
      <c r="AE790" t="s">
        <v>1215</v>
      </c>
    </row>
    <row r="791" spans="31:31" x14ac:dyDescent="0.25">
      <c r="AE791" t="s">
        <v>1216</v>
      </c>
    </row>
    <row r="792" spans="31:31" x14ac:dyDescent="0.25">
      <c r="AE792" t="s">
        <v>1217</v>
      </c>
    </row>
    <row r="793" spans="31:31" x14ac:dyDescent="0.25">
      <c r="AE793" t="s">
        <v>1218</v>
      </c>
    </row>
    <row r="794" spans="31:31" x14ac:dyDescent="0.25">
      <c r="AE794" t="s">
        <v>1219</v>
      </c>
    </row>
    <row r="795" spans="31:31" x14ac:dyDescent="0.25">
      <c r="AE795" t="s">
        <v>1220</v>
      </c>
    </row>
    <row r="796" spans="31:31" x14ac:dyDescent="0.25">
      <c r="AE796" t="s">
        <v>1221</v>
      </c>
    </row>
    <row r="797" spans="31:31" x14ac:dyDescent="0.25">
      <c r="AE797" t="s">
        <v>1222</v>
      </c>
    </row>
    <row r="798" spans="31:31" x14ac:dyDescent="0.25">
      <c r="AE798" t="s">
        <v>1223</v>
      </c>
    </row>
    <row r="799" spans="31:31" x14ac:dyDescent="0.25">
      <c r="AE799" t="s">
        <v>1224</v>
      </c>
    </row>
    <row r="800" spans="31:31" x14ac:dyDescent="0.25">
      <c r="AE800" t="s">
        <v>1225</v>
      </c>
    </row>
    <row r="801" spans="31:31" x14ac:dyDescent="0.25">
      <c r="AE801" t="s">
        <v>1226</v>
      </c>
    </row>
    <row r="802" spans="31:31" x14ac:dyDescent="0.25">
      <c r="AE802" t="s">
        <v>1227</v>
      </c>
    </row>
    <row r="803" spans="31:31" x14ac:dyDescent="0.25">
      <c r="AE803" t="s">
        <v>1228</v>
      </c>
    </row>
    <row r="804" spans="31:31" x14ac:dyDescent="0.25">
      <c r="AE804" t="s">
        <v>1229</v>
      </c>
    </row>
    <row r="805" spans="31:31" x14ac:dyDescent="0.25">
      <c r="AE805" t="s">
        <v>1230</v>
      </c>
    </row>
    <row r="806" spans="31:31" x14ac:dyDescent="0.25">
      <c r="AE806" t="s">
        <v>1231</v>
      </c>
    </row>
    <row r="807" spans="31:31" x14ac:dyDescent="0.25">
      <c r="AE807" t="s">
        <v>1232</v>
      </c>
    </row>
    <row r="808" spans="31:31" x14ac:dyDescent="0.25">
      <c r="AE808" t="s">
        <v>1233</v>
      </c>
    </row>
    <row r="809" spans="31:31" x14ac:dyDescent="0.25">
      <c r="AE809" t="s">
        <v>1234</v>
      </c>
    </row>
    <row r="810" spans="31:31" x14ac:dyDescent="0.25">
      <c r="AE810" t="s">
        <v>1235</v>
      </c>
    </row>
    <row r="811" spans="31:31" x14ac:dyDescent="0.25">
      <c r="AE811" t="s">
        <v>1236</v>
      </c>
    </row>
    <row r="812" spans="31:31" x14ac:dyDescent="0.25">
      <c r="AE812" t="s">
        <v>1237</v>
      </c>
    </row>
    <row r="813" spans="31:31" x14ac:dyDescent="0.25">
      <c r="AE813" t="s">
        <v>1238</v>
      </c>
    </row>
    <row r="814" spans="31:31" x14ac:dyDescent="0.25">
      <c r="AE814" t="s">
        <v>1239</v>
      </c>
    </row>
    <row r="815" spans="31:31" x14ac:dyDescent="0.25">
      <c r="AE815" t="s">
        <v>1240</v>
      </c>
    </row>
    <row r="816" spans="31:31" x14ac:dyDescent="0.25">
      <c r="AE816" t="s">
        <v>1241</v>
      </c>
    </row>
    <row r="817" spans="31:31" x14ac:dyDescent="0.25">
      <c r="AE817" t="s">
        <v>1242</v>
      </c>
    </row>
    <row r="818" spans="31:31" x14ac:dyDescent="0.25">
      <c r="AE818" t="s">
        <v>1243</v>
      </c>
    </row>
    <row r="819" spans="31:31" x14ac:dyDescent="0.25">
      <c r="AE819" t="s">
        <v>1244</v>
      </c>
    </row>
    <row r="820" spans="31:31" x14ac:dyDescent="0.25">
      <c r="AE820" t="s">
        <v>1245</v>
      </c>
    </row>
    <row r="821" spans="31:31" x14ac:dyDescent="0.25">
      <c r="AE821" t="s">
        <v>1246</v>
      </c>
    </row>
    <row r="822" spans="31:31" x14ac:dyDescent="0.25">
      <c r="AE822" t="s">
        <v>1247</v>
      </c>
    </row>
    <row r="823" spans="31:31" x14ac:dyDescent="0.25">
      <c r="AE823" t="s">
        <v>1248</v>
      </c>
    </row>
    <row r="824" spans="31:31" x14ac:dyDescent="0.25">
      <c r="AE824" t="s">
        <v>1249</v>
      </c>
    </row>
    <row r="825" spans="31:31" x14ac:dyDescent="0.25">
      <c r="AE825" t="s">
        <v>1250</v>
      </c>
    </row>
    <row r="826" spans="31:31" x14ac:dyDescent="0.25">
      <c r="AE826" t="s">
        <v>1251</v>
      </c>
    </row>
    <row r="827" spans="31:31" x14ac:dyDescent="0.25">
      <c r="AE827" t="s">
        <v>1252</v>
      </c>
    </row>
    <row r="828" spans="31:31" x14ac:dyDescent="0.25">
      <c r="AE828" t="s">
        <v>1253</v>
      </c>
    </row>
    <row r="829" spans="31:31" x14ac:dyDescent="0.25">
      <c r="AE829" t="s">
        <v>1254</v>
      </c>
    </row>
    <row r="830" spans="31:31" x14ac:dyDescent="0.25">
      <c r="AE830" t="s">
        <v>1255</v>
      </c>
    </row>
    <row r="831" spans="31:31" x14ac:dyDescent="0.25">
      <c r="AE831" t="s">
        <v>1256</v>
      </c>
    </row>
    <row r="832" spans="31:31" x14ac:dyDescent="0.25">
      <c r="AE832" t="s">
        <v>1257</v>
      </c>
    </row>
    <row r="833" spans="31:31" x14ac:dyDescent="0.25">
      <c r="AE833" t="s">
        <v>1258</v>
      </c>
    </row>
    <row r="834" spans="31:31" x14ac:dyDescent="0.25">
      <c r="AE834" t="s">
        <v>1259</v>
      </c>
    </row>
    <row r="835" spans="31:31" x14ac:dyDescent="0.25">
      <c r="AE835" t="s">
        <v>1260</v>
      </c>
    </row>
    <row r="836" spans="31:31" x14ac:dyDescent="0.25">
      <c r="AE836" t="s">
        <v>1261</v>
      </c>
    </row>
    <row r="837" spans="31:31" x14ac:dyDescent="0.25">
      <c r="AE837" t="s">
        <v>1262</v>
      </c>
    </row>
    <row r="838" spans="31:31" x14ac:dyDescent="0.25">
      <c r="AE838" t="s">
        <v>1263</v>
      </c>
    </row>
    <row r="839" spans="31:31" x14ac:dyDescent="0.25">
      <c r="AE839" t="s">
        <v>1264</v>
      </c>
    </row>
    <row r="840" spans="31:31" x14ac:dyDescent="0.25">
      <c r="AE840" t="s">
        <v>1265</v>
      </c>
    </row>
    <row r="841" spans="31:31" x14ac:dyDescent="0.25">
      <c r="AE841" t="s">
        <v>1266</v>
      </c>
    </row>
    <row r="842" spans="31:31" x14ac:dyDescent="0.25">
      <c r="AE842" t="s">
        <v>1267</v>
      </c>
    </row>
    <row r="843" spans="31:31" x14ac:dyDescent="0.25">
      <c r="AE843" t="s">
        <v>1268</v>
      </c>
    </row>
  </sheetData>
  <autoFilter ref="A1:A26" xr:uid="{007834EF-7B29-4A85-92C6-734C39221784}">
    <sortState xmlns:xlrd2="http://schemas.microsoft.com/office/spreadsheetml/2017/richdata2" ref="A2:A26">
      <sortCondition ref="A1:A26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32AD8-8CF0-42FE-BD37-DF68E15B30EB}">
  <dimension ref="A1:G6"/>
  <sheetViews>
    <sheetView workbookViewId="0">
      <selection activeCell="B7" sqref="B7"/>
    </sheetView>
  </sheetViews>
  <sheetFormatPr defaultRowHeight="15" x14ac:dyDescent="0.25"/>
  <cols>
    <col min="1" max="1" width="22.7109375" customWidth="1"/>
    <col min="2" max="2" width="22" customWidth="1"/>
    <col min="3" max="3" width="11.7109375" bestFit="1" customWidth="1"/>
    <col min="4" max="4" width="26.5703125" bestFit="1" customWidth="1"/>
    <col min="5" max="5" width="18.7109375" customWidth="1"/>
    <col min="7" max="7" width="12.28515625" customWidth="1"/>
  </cols>
  <sheetData>
    <row r="1" spans="1:7" x14ac:dyDescent="0.25">
      <c r="A1" s="28" t="s">
        <v>1269</v>
      </c>
      <c r="B1" s="24" t="s">
        <v>29</v>
      </c>
      <c r="C1" s="24" t="s">
        <v>1270</v>
      </c>
      <c r="D1" s="24" t="s">
        <v>1271</v>
      </c>
      <c r="E1" s="24" t="s">
        <v>32</v>
      </c>
      <c r="F1" s="24" t="s">
        <v>33</v>
      </c>
      <c r="G1" s="24" t="s">
        <v>34</v>
      </c>
    </row>
    <row r="2" spans="1:7" x14ac:dyDescent="0.25">
      <c r="A2" s="29" t="str">
        <f>Table4[[#This Row],[Customer]]&amp;" "&amp;Table4[[#This Row],[Cust Site]]</f>
        <v>AO Smith Ashland City</v>
      </c>
      <c r="B2" s="25" t="s">
        <v>69</v>
      </c>
      <c r="C2" s="25" t="s">
        <v>70</v>
      </c>
      <c r="D2" s="25" t="s">
        <v>1272</v>
      </c>
      <c r="E2" s="25" t="s">
        <v>70</v>
      </c>
      <c r="F2" s="25" t="s">
        <v>75</v>
      </c>
      <c r="G2" s="25">
        <v>37015</v>
      </c>
    </row>
    <row r="3" spans="1:7" x14ac:dyDescent="0.25">
      <c r="A3" s="29" t="str">
        <f>Table4[[#This Row],[Customer]]&amp;" "&amp;Table4[[#This Row],[Cust Site]]</f>
        <v>AO Smith Charlotte</v>
      </c>
      <c r="B3" s="26" t="s">
        <v>69</v>
      </c>
      <c r="C3" s="26" t="s">
        <v>1273</v>
      </c>
      <c r="D3" s="26" t="s">
        <v>1274</v>
      </c>
      <c r="E3" s="26" t="s">
        <v>1273</v>
      </c>
      <c r="F3" s="26" t="s">
        <v>387</v>
      </c>
      <c r="G3" s="26">
        <v>28213</v>
      </c>
    </row>
    <row r="4" spans="1:7" x14ac:dyDescent="0.25">
      <c r="A4" s="29" t="str">
        <f>Table4[[#This Row],[Customer]]&amp;" "&amp;Table4[[#This Row],[Cust Site]]</f>
        <v>AO Smith El Paso</v>
      </c>
      <c r="B4" s="25" t="s">
        <v>69</v>
      </c>
      <c r="C4" s="25" t="s">
        <v>1275</v>
      </c>
      <c r="D4" s="25" t="s">
        <v>1276</v>
      </c>
      <c r="E4" s="25" t="s">
        <v>1275</v>
      </c>
      <c r="F4" s="25" t="s">
        <v>436</v>
      </c>
      <c r="G4" s="25">
        <v>79936</v>
      </c>
    </row>
    <row r="5" spans="1:7" x14ac:dyDescent="0.25">
      <c r="A5" s="29" t="str">
        <f>Table4[[#This Row],[Customer]]&amp;" "&amp;Table4[[#This Row],[Cust Site]]</f>
        <v>AO Smith Johnson City</v>
      </c>
      <c r="B5" s="26" t="s">
        <v>69</v>
      </c>
      <c r="C5" s="26" t="s">
        <v>1277</v>
      </c>
      <c r="D5" s="26" t="s">
        <v>1278</v>
      </c>
      <c r="E5" s="26" t="s">
        <v>1277</v>
      </c>
      <c r="F5" s="26" t="s">
        <v>75</v>
      </c>
      <c r="G5" s="26">
        <v>37601</v>
      </c>
    </row>
    <row r="6" spans="1:7" x14ac:dyDescent="0.25">
      <c r="A6" s="29" t="str">
        <f>Table4[[#This Row],[Customer]]&amp;" "&amp;Table4[[#This Row],[Cust Site]]</f>
        <v>AO Smith McBee</v>
      </c>
      <c r="B6" s="27" t="s">
        <v>69</v>
      </c>
      <c r="C6" s="27" t="s">
        <v>1279</v>
      </c>
      <c r="D6" s="27" t="s">
        <v>1280</v>
      </c>
      <c r="E6" s="27" t="s">
        <v>1279</v>
      </c>
      <c r="F6" s="27" t="s">
        <v>422</v>
      </c>
      <c r="G6" s="27">
        <v>29101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1E80E-20B7-42CA-AE6A-25FB6B1AA523}">
  <dimension ref="A1:M2884"/>
  <sheetViews>
    <sheetView workbookViewId="0">
      <selection activeCell="B2" sqref="B2"/>
    </sheetView>
  </sheetViews>
  <sheetFormatPr defaultRowHeight="15" x14ac:dyDescent="0.25"/>
  <cols>
    <col min="1" max="1" width="11.5703125" style="21" customWidth="1"/>
    <col min="2" max="2" width="55.140625" style="21" bestFit="1" customWidth="1"/>
    <col min="3" max="3" width="10.5703125" style="21" bestFit="1" customWidth="1"/>
    <col min="4" max="4" width="6.5703125" style="21" customWidth="1"/>
    <col min="5" max="6" width="26" style="21" bestFit="1" customWidth="1"/>
    <col min="7" max="7" width="15.140625" style="21" bestFit="1" customWidth="1"/>
    <col min="8" max="8" width="26.7109375" style="21" bestFit="1" customWidth="1"/>
    <col min="9" max="9" width="14.42578125" style="22" customWidth="1"/>
    <col min="10" max="10" width="16.140625" style="22" customWidth="1"/>
    <col min="11" max="11" width="16.42578125" style="22" customWidth="1"/>
    <col min="12" max="12" width="11.5703125" style="21" customWidth="1"/>
    <col min="13" max="13" width="15.140625" style="21" customWidth="1"/>
  </cols>
  <sheetData>
    <row r="1" spans="1:13" x14ac:dyDescent="0.25">
      <c r="A1" s="21" t="s">
        <v>1281</v>
      </c>
      <c r="B1" s="21" t="s">
        <v>1282</v>
      </c>
      <c r="C1" s="21" t="s">
        <v>1283</v>
      </c>
      <c r="D1" s="21" t="s">
        <v>1284</v>
      </c>
      <c r="E1" s="21" t="s">
        <v>1285</v>
      </c>
      <c r="F1" s="21" t="s">
        <v>1286</v>
      </c>
      <c r="G1" s="21" t="s">
        <v>1287</v>
      </c>
      <c r="H1" s="21" t="s">
        <v>1288</v>
      </c>
      <c r="I1" s="21" t="s">
        <v>1289</v>
      </c>
      <c r="J1" s="21" t="s">
        <v>1290</v>
      </c>
      <c r="K1" s="21" t="s">
        <v>1291</v>
      </c>
      <c r="L1" s="21" t="s">
        <v>1292</v>
      </c>
      <c r="M1" s="21" t="s">
        <v>1293</v>
      </c>
    </row>
    <row r="2" spans="1:13" x14ac:dyDescent="0.25">
      <c r="A2" s="21" t="s">
        <v>1294</v>
      </c>
      <c r="B2" s="21" t="s">
        <v>1295</v>
      </c>
      <c r="C2" s="21" t="s">
        <v>1296</v>
      </c>
      <c r="D2" s="21" t="s">
        <v>1297</v>
      </c>
      <c r="E2" s="21" t="s">
        <v>1298</v>
      </c>
      <c r="F2" s="21" t="s">
        <v>1297</v>
      </c>
      <c r="G2" s="21" t="s">
        <v>1299</v>
      </c>
      <c r="H2" s="21" t="s">
        <v>1300</v>
      </c>
      <c r="I2" s="22">
        <f>DATE(2019,12,6)</f>
        <v>43805</v>
      </c>
      <c r="J2" s="22">
        <f>DATE(2019,12,6)</f>
        <v>43805</v>
      </c>
      <c r="K2" s="22">
        <f>DATE(2024,12,6)</f>
        <v>45632</v>
      </c>
      <c r="L2" s="21" t="s">
        <v>1301</v>
      </c>
      <c r="M2" s="21" t="s">
        <v>1302</v>
      </c>
    </row>
    <row r="3" spans="1:13" x14ac:dyDescent="0.25">
      <c r="A3" s="21" t="s">
        <v>1303</v>
      </c>
      <c r="B3" s="21" t="s">
        <v>1304</v>
      </c>
      <c r="C3" s="21" t="s">
        <v>1296</v>
      </c>
      <c r="D3" s="21" t="s">
        <v>1297</v>
      </c>
      <c r="E3" s="21" t="s">
        <v>1298</v>
      </c>
      <c r="F3" s="21" t="s">
        <v>1297</v>
      </c>
      <c r="G3" s="21" t="s">
        <v>1305</v>
      </c>
      <c r="H3" s="21" t="s">
        <v>1306</v>
      </c>
      <c r="I3" s="22">
        <f>DATE(2024,8,29)</f>
        <v>45533</v>
      </c>
      <c r="J3" s="22">
        <f>DATE(2024,9,5)</f>
        <v>45540</v>
      </c>
      <c r="K3" s="22">
        <f>DATE(2025,6,30)</f>
        <v>45838</v>
      </c>
      <c r="L3" s="21" t="s">
        <v>1307</v>
      </c>
      <c r="M3" s="21" t="s">
        <v>1302</v>
      </c>
    </row>
    <row r="4" spans="1:13" x14ac:dyDescent="0.25">
      <c r="A4" s="21" t="s">
        <v>1308</v>
      </c>
      <c r="B4" s="21" t="s">
        <v>1309</v>
      </c>
      <c r="C4" s="21" t="s">
        <v>1296</v>
      </c>
      <c r="D4" s="21" t="s">
        <v>1297</v>
      </c>
      <c r="E4" s="21" t="s">
        <v>1298</v>
      </c>
      <c r="F4" s="21" t="s">
        <v>1297</v>
      </c>
      <c r="G4" s="21" t="s">
        <v>1305</v>
      </c>
      <c r="H4" s="21" t="s">
        <v>1300</v>
      </c>
      <c r="I4" s="22">
        <f>DATE(2020,2,21)</f>
        <v>43882</v>
      </c>
      <c r="J4" s="22">
        <f>DATE(2020,2,21)</f>
        <v>43882</v>
      </c>
      <c r="K4" s="22">
        <f>DATE(2025,2,21)</f>
        <v>45709</v>
      </c>
      <c r="L4" s="21" t="s">
        <v>1301</v>
      </c>
      <c r="M4" s="21" t="s">
        <v>1302</v>
      </c>
    </row>
    <row r="5" spans="1:13" x14ac:dyDescent="0.25">
      <c r="A5" s="21" t="s">
        <v>1310</v>
      </c>
      <c r="B5" s="21" t="s">
        <v>1311</v>
      </c>
      <c r="C5" s="21" t="s">
        <v>1296</v>
      </c>
      <c r="D5" s="21" t="s">
        <v>1297</v>
      </c>
      <c r="E5" s="21" t="s">
        <v>1298</v>
      </c>
      <c r="F5" s="21" t="s">
        <v>1297</v>
      </c>
      <c r="G5" s="21" t="s">
        <v>1305</v>
      </c>
      <c r="H5" s="21" t="s">
        <v>1306</v>
      </c>
      <c r="I5" s="22">
        <f>DATE(2024,10,30)</f>
        <v>45595</v>
      </c>
      <c r="J5" s="22">
        <f>DATE(2024,10,30)</f>
        <v>45595</v>
      </c>
      <c r="K5" s="22">
        <f>DATE(2025,6,30)</f>
        <v>45838</v>
      </c>
      <c r="L5" s="21" t="s">
        <v>1307</v>
      </c>
      <c r="M5" s="21" t="s">
        <v>1302</v>
      </c>
    </row>
    <row r="6" spans="1:13" x14ac:dyDescent="0.25">
      <c r="A6" s="21" t="s">
        <v>1312</v>
      </c>
      <c r="B6" s="21" t="s">
        <v>1313</v>
      </c>
      <c r="C6" s="21" t="s">
        <v>1296</v>
      </c>
      <c r="D6" s="21" t="s">
        <v>1297</v>
      </c>
      <c r="E6" s="21" t="s">
        <v>1298</v>
      </c>
      <c r="F6" s="21" t="s">
        <v>1297</v>
      </c>
      <c r="G6" s="21" t="s">
        <v>1305</v>
      </c>
      <c r="H6" s="21" t="s">
        <v>1306</v>
      </c>
      <c r="I6" s="22">
        <f>DATE(2024,9,5)</f>
        <v>45540</v>
      </c>
      <c r="J6" s="22">
        <f>DATE(2024,9,5)</f>
        <v>45540</v>
      </c>
      <c r="K6" s="22">
        <f>DATE(2025,6,30)</f>
        <v>45838</v>
      </c>
      <c r="L6" s="21" t="s">
        <v>1307</v>
      </c>
      <c r="M6" s="21" t="s">
        <v>1302</v>
      </c>
    </row>
    <row r="7" spans="1:13" x14ac:dyDescent="0.25">
      <c r="A7" s="21" t="s">
        <v>1314</v>
      </c>
      <c r="B7" s="21" t="s">
        <v>1315</v>
      </c>
      <c r="C7" s="21" t="s">
        <v>1296</v>
      </c>
      <c r="D7" s="21" t="s">
        <v>1297</v>
      </c>
      <c r="E7" s="21" t="s">
        <v>1298</v>
      </c>
      <c r="F7" s="21" t="s">
        <v>1297</v>
      </c>
      <c r="G7" s="21" t="s">
        <v>1305</v>
      </c>
      <c r="H7" s="21" t="s">
        <v>1316</v>
      </c>
      <c r="I7" s="22">
        <f>DATE(2024,8,23)</f>
        <v>45527</v>
      </c>
      <c r="J7" s="22">
        <f>DATE(2024,8,23)</f>
        <v>45527</v>
      </c>
      <c r="K7" s="22">
        <f>DATE(2029,8,23)</f>
        <v>47353</v>
      </c>
      <c r="L7" s="21" t="s">
        <v>1307</v>
      </c>
      <c r="M7" s="21" t="s">
        <v>1302</v>
      </c>
    </row>
    <row r="8" spans="1:13" x14ac:dyDescent="0.25">
      <c r="A8" s="21" t="s">
        <v>1317</v>
      </c>
      <c r="B8" s="21" t="s">
        <v>1318</v>
      </c>
      <c r="C8" s="21" t="s">
        <v>1296</v>
      </c>
      <c r="D8" s="21" t="s">
        <v>1297</v>
      </c>
      <c r="E8" s="21" t="s">
        <v>1298</v>
      </c>
      <c r="F8" s="21" t="s">
        <v>1297</v>
      </c>
      <c r="G8" s="21" t="s">
        <v>1305</v>
      </c>
      <c r="H8" s="21" t="s">
        <v>1306</v>
      </c>
      <c r="I8" s="22">
        <f>DATE(2024,7,1)</f>
        <v>45474</v>
      </c>
      <c r="J8" s="22">
        <f>DATE(2024,7,1)</f>
        <v>45474</v>
      </c>
      <c r="K8" s="22">
        <f>DATE(2025,6,30)</f>
        <v>45838</v>
      </c>
      <c r="L8" s="21" t="s">
        <v>1307</v>
      </c>
      <c r="M8" s="21" t="s">
        <v>1302</v>
      </c>
    </row>
    <row r="9" spans="1:13" x14ac:dyDescent="0.25">
      <c r="A9" s="21" t="s">
        <v>1319</v>
      </c>
      <c r="B9" s="21" t="s">
        <v>1320</v>
      </c>
      <c r="C9" s="21" t="s">
        <v>1296</v>
      </c>
      <c r="D9" s="21" t="s">
        <v>1297</v>
      </c>
      <c r="E9" s="21" t="s">
        <v>1298</v>
      </c>
      <c r="F9" s="21" t="s">
        <v>1297</v>
      </c>
      <c r="G9" s="21" t="s">
        <v>1305</v>
      </c>
      <c r="H9" s="21" t="s">
        <v>1321</v>
      </c>
      <c r="I9" s="22">
        <f>DATE(2021,2,12)</f>
        <v>44239</v>
      </c>
      <c r="J9" s="22">
        <f>DATE(2021,2,12)</f>
        <v>44239</v>
      </c>
      <c r="K9" s="22">
        <f>DATE(2026,2,12)</f>
        <v>46065</v>
      </c>
      <c r="L9" s="21" t="s">
        <v>1322</v>
      </c>
      <c r="M9" s="21" t="s">
        <v>1302</v>
      </c>
    </row>
    <row r="10" spans="1:13" x14ac:dyDescent="0.25">
      <c r="A10" s="21" t="s">
        <v>1323</v>
      </c>
      <c r="B10" s="21" t="s">
        <v>1324</v>
      </c>
      <c r="C10" s="21" t="s">
        <v>1296</v>
      </c>
      <c r="D10" s="21" t="s">
        <v>1297</v>
      </c>
      <c r="E10" s="21" t="s">
        <v>1298</v>
      </c>
      <c r="F10" s="21" t="s">
        <v>1297</v>
      </c>
      <c r="G10" s="21" t="s">
        <v>1305</v>
      </c>
      <c r="H10" s="21" t="s">
        <v>1297</v>
      </c>
      <c r="I10" s="22">
        <f t="shared" ref="I10:K12" si="0">DATE(1900,1,1)</f>
        <v>1</v>
      </c>
      <c r="J10" s="22">
        <f t="shared" si="0"/>
        <v>1</v>
      </c>
      <c r="K10" s="22">
        <f t="shared" si="0"/>
        <v>1</v>
      </c>
      <c r="L10" s="21" t="s">
        <v>1297</v>
      </c>
      <c r="M10" s="21" t="s">
        <v>1302</v>
      </c>
    </row>
    <row r="11" spans="1:13" x14ac:dyDescent="0.25">
      <c r="A11" s="21" t="s">
        <v>1325</v>
      </c>
      <c r="B11" s="21" t="s">
        <v>1326</v>
      </c>
      <c r="C11" s="21" t="s">
        <v>1296</v>
      </c>
      <c r="D11" s="21" t="s">
        <v>1297</v>
      </c>
      <c r="E11" s="21" t="s">
        <v>1298</v>
      </c>
      <c r="F11" s="21" t="s">
        <v>1297</v>
      </c>
      <c r="G11" s="21" t="s">
        <v>1305</v>
      </c>
      <c r="H11" s="21" t="s">
        <v>1297</v>
      </c>
      <c r="I11" s="22">
        <f t="shared" si="0"/>
        <v>1</v>
      </c>
      <c r="J11" s="22">
        <f t="shared" si="0"/>
        <v>1</v>
      </c>
      <c r="K11" s="22">
        <f t="shared" si="0"/>
        <v>1</v>
      </c>
      <c r="L11" s="21" t="s">
        <v>1297</v>
      </c>
      <c r="M11" s="21" t="s">
        <v>1302</v>
      </c>
    </row>
    <row r="12" spans="1:13" x14ac:dyDescent="0.25">
      <c r="A12" s="21" t="s">
        <v>1327</v>
      </c>
      <c r="B12" s="21" t="s">
        <v>1328</v>
      </c>
      <c r="C12" s="21" t="s">
        <v>1296</v>
      </c>
      <c r="D12" s="21" t="s">
        <v>1297</v>
      </c>
      <c r="E12" s="21" t="s">
        <v>1298</v>
      </c>
      <c r="F12" s="21" t="s">
        <v>1297</v>
      </c>
      <c r="G12" s="21" t="s">
        <v>1305</v>
      </c>
      <c r="H12" s="21" t="s">
        <v>1297</v>
      </c>
      <c r="I12" s="22">
        <f t="shared" si="0"/>
        <v>1</v>
      </c>
      <c r="J12" s="22">
        <f t="shared" si="0"/>
        <v>1</v>
      </c>
      <c r="K12" s="22">
        <f t="shared" si="0"/>
        <v>1</v>
      </c>
      <c r="L12" s="21" t="s">
        <v>1297</v>
      </c>
      <c r="M12" s="21" t="s">
        <v>1302</v>
      </c>
    </row>
    <row r="13" spans="1:13" x14ac:dyDescent="0.25">
      <c r="A13" s="21" t="s">
        <v>1329</v>
      </c>
      <c r="B13" s="21" t="s">
        <v>1330</v>
      </c>
      <c r="C13" s="21" t="s">
        <v>1296</v>
      </c>
      <c r="D13" s="21" t="s">
        <v>1297</v>
      </c>
      <c r="E13" s="21" t="s">
        <v>1298</v>
      </c>
      <c r="F13" s="21" t="s">
        <v>1297</v>
      </c>
      <c r="G13" s="21" t="s">
        <v>1305</v>
      </c>
      <c r="H13" s="21" t="s">
        <v>1316</v>
      </c>
      <c r="I13" s="22">
        <f>DATE(2023,11,13)</f>
        <v>45243</v>
      </c>
      <c r="J13" s="22">
        <f>DATE(2023,11,13)</f>
        <v>45243</v>
      </c>
      <c r="K13" s="22">
        <f>DATE(2028,11,13)</f>
        <v>47070</v>
      </c>
      <c r="L13" s="21" t="s">
        <v>1307</v>
      </c>
      <c r="M13" s="21" t="s">
        <v>1302</v>
      </c>
    </row>
    <row r="14" spans="1:13" x14ac:dyDescent="0.25">
      <c r="A14" s="21" t="s">
        <v>1331</v>
      </c>
      <c r="B14" s="21" t="s">
        <v>1332</v>
      </c>
      <c r="C14" s="21" t="s">
        <v>1296</v>
      </c>
      <c r="D14" s="21" t="s">
        <v>1297</v>
      </c>
      <c r="E14" s="21" t="s">
        <v>1298</v>
      </c>
      <c r="F14" s="21" t="s">
        <v>1297</v>
      </c>
      <c r="G14" s="21" t="s">
        <v>1305</v>
      </c>
      <c r="H14" s="21" t="s">
        <v>1300</v>
      </c>
      <c r="I14" s="22">
        <f>DATE(2023,10,4)</f>
        <v>45203</v>
      </c>
      <c r="J14" s="22">
        <f>DATE(2023,10,4)</f>
        <v>45203</v>
      </c>
      <c r="K14" s="22">
        <f>DATE(2028,10,4)</f>
        <v>47030</v>
      </c>
      <c r="L14" s="21" t="s">
        <v>1307</v>
      </c>
      <c r="M14" s="21" t="s">
        <v>1302</v>
      </c>
    </row>
    <row r="15" spans="1:13" x14ac:dyDescent="0.25">
      <c r="A15" s="21" t="s">
        <v>1333</v>
      </c>
      <c r="B15" s="21" t="s">
        <v>1334</v>
      </c>
      <c r="C15" s="21" t="s">
        <v>1296</v>
      </c>
      <c r="D15" s="21" t="s">
        <v>1297</v>
      </c>
      <c r="E15" s="21" t="s">
        <v>1298</v>
      </c>
      <c r="F15" s="21" t="s">
        <v>1297</v>
      </c>
      <c r="G15" s="21" t="s">
        <v>1305</v>
      </c>
      <c r="H15" s="21" t="s">
        <v>1306</v>
      </c>
      <c r="I15" s="22">
        <f>DATE(2024,11,19)</f>
        <v>45615</v>
      </c>
      <c r="J15" s="22">
        <f>DATE(2024,11,19)</f>
        <v>45615</v>
      </c>
      <c r="K15" s="22">
        <f>DATE(2025,6,30)</f>
        <v>45838</v>
      </c>
      <c r="L15" s="21" t="s">
        <v>1307</v>
      </c>
      <c r="M15" s="21" t="s">
        <v>1302</v>
      </c>
    </row>
    <row r="16" spans="1:13" x14ac:dyDescent="0.25">
      <c r="A16" s="21" t="s">
        <v>1335</v>
      </c>
      <c r="B16" s="21" t="s">
        <v>1336</v>
      </c>
      <c r="C16" s="21" t="s">
        <v>1296</v>
      </c>
      <c r="D16" s="21" t="s">
        <v>1297</v>
      </c>
      <c r="E16" s="21" t="s">
        <v>1298</v>
      </c>
      <c r="F16" s="21" t="s">
        <v>1297</v>
      </c>
      <c r="G16" s="21" t="s">
        <v>1305</v>
      </c>
      <c r="H16" s="21" t="s">
        <v>1306</v>
      </c>
      <c r="I16" s="22">
        <f>DATE(2024,9,26)</f>
        <v>45561</v>
      </c>
      <c r="J16" s="22">
        <f>DATE(2024,9,26)</f>
        <v>45561</v>
      </c>
      <c r="K16" s="22">
        <f>DATE(2025,9,19)</f>
        <v>45919</v>
      </c>
      <c r="L16" s="21" t="s">
        <v>1307</v>
      </c>
      <c r="M16" s="21" t="s">
        <v>1302</v>
      </c>
    </row>
    <row r="17" spans="1:13" x14ac:dyDescent="0.25">
      <c r="A17" s="21" t="s">
        <v>1337</v>
      </c>
      <c r="B17" s="21" t="s">
        <v>1338</v>
      </c>
      <c r="C17" s="21" t="s">
        <v>1296</v>
      </c>
      <c r="D17" s="21" t="s">
        <v>1297</v>
      </c>
      <c r="E17" s="21" t="s">
        <v>1298</v>
      </c>
      <c r="F17" s="21" t="s">
        <v>1297</v>
      </c>
      <c r="G17" s="21" t="s">
        <v>1305</v>
      </c>
      <c r="H17" s="21" t="s">
        <v>1300</v>
      </c>
      <c r="I17" s="22">
        <f>DATE(2020,3,16)</f>
        <v>43906</v>
      </c>
      <c r="J17" s="22">
        <f>DATE(2020,3,16)</f>
        <v>43906</v>
      </c>
      <c r="K17" s="22">
        <f>DATE(2025,3,16)</f>
        <v>45732</v>
      </c>
      <c r="L17" s="21" t="s">
        <v>1301</v>
      </c>
      <c r="M17" s="21" t="s">
        <v>1302</v>
      </c>
    </row>
    <row r="18" spans="1:13" x14ac:dyDescent="0.25">
      <c r="A18" s="21" t="s">
        <v>1339</v>
      </c>
      <c r="B18" s="21" t="s">
        <v>1340</v>
      </c>
      <c r="C18" s="21" t="s">
        <v>1296</v>
      </c>
      <c r="D18" s="21" t="s">
        <v>1297</v>
      </c>
      <c r="E18" s="21" t="s">
        <v>1298</v>
      </c>
      <c r="F18" s="21" t="s">
        <v>1297</v>
      </c>
      <c r="G18" s="21" t="s">
        <v>1305</v>
      </c>
      <c r="H18" s="21" t="s">
        <v>1297</v>
      </c>
      <c r="I18" s="22">
        <f>DATE(1900,1,1)</f>
        <v>1</v>
      </c>
      <c r="J18" s="22">
        <f>DATE(1900,1,1)</f>
        <v>1</v>
      </c>
      <c r="K18" s="22">
        <f>DATE(1900,1,1)</f>
        <v>1</v>
      </c>
      <c r="L18" s="21" t="s">
        <v>1297</v>
      </c>
      <c r="M18" s="21" t="s">
        <v>1302</v>
      </c>
    </row>
    <row r="19" spans="1:13" x14ac:dyDescent="0.25">
      <c r="A19" s="21" t="s">
        <v>1341</v>
      </c>
      <c r="B19" s="21" t="s">
        <v>1342</v>
      </c>
      <c r="C19" s="21" t="s">
        <v>1296</v>
      </c>
      <c r="D19" s="21" t="s">
        <v>1297</v>
      </c>
      <c r="E19" s="21" t="s">
        <v>1298</v>
      </c>
      <c r="F19" s="21" t="s">
        <v>1297</v>
      </c>
      <c r="G19" s="21" t="s">
        <v>1299</v>
      </c>
      <c r="H19" s="21" t="s">
        <v>1300</v>
      </c>
      <c r="I19" s="22">
        <f>DATE(2020,9,4)</f>
        <v>44078</v>
      </c>
      <c r="J19" s="22">
        <f>DATE(2020,9,4)</f>
        <v>44078</v>
      </c>
      <c r="K19" s="22">
        <f>DATE(2025,9,4)</f>
        <v>45904</v>
      </c>
      <c r="L19" s="21" t="s">
        <v>1301</v>
      </c>
      <c r="M19" s="21" t="s">
        <v>1302</v>
      </c>
    </row>
    <row r="20" spans="1:13" x14ac:dyDescent="0.25">
      <c r="A20" s="21" t="s">
        <v>1343</v>
      </c>
      <c r="B20" s="21" t="s">
        <v>1344</v>
      </c>
      <c r="C20" s="21" t="s">
        <v>1296</v>
      </c>
      <c r="D20" s="21" t="s">
        <v>1297</v>
      </c>
      <c r="E20" s="21" t="s">
        <v>1298</v>
      </c>
      <c r="F20" s="21" t="s">
        <v>1297</v>
      </c>
      <c r="G20" s="21" t="s">
        <v>1305</v>
      </c>
      <c r="H20" s="21" t="s">
        <v>1316</v>
      </c>
      <c r="I20" s="22">
        <f>DATE(2024,1,17)</f>
        <v>45308</v>
      </c>
      <c r="J20" s="22">
        <f>DATE(2024,1,17)</f>
        <v>45308</v>
      </c>
      <c r="K20" s="22">
        <f>DATE(2029,1,17)</f>
        <v>47135</v>
      </c>
      <c r="L20" s="21" t="s">
        <v>1307</v>
      </c>
      <c r="M20" s="21" t="s">
        <v>1302</v>
      </c>
    </row>
    <row r="21" spans="1:13" x14ac:dyDescent="0.25">
      <c r="A21" s="21" t="s">
        <v>1345</v>
      </c>
      <c r="B21" s="21" t="s">
        <v>1346</v>
      </c>
      <c r="C21" s="21" t="s">
        <v>1296</v>
      </c>
      <c r="D21" s="21" t="s">
        <v>1297</v>
      </c>
      <c r="E21" s="21" t="s">
        <v>1298</v>
      </c>
      <c r="F21" s="21" t="s">
        <v>1297</v>
      </c>
      <c r="G21" s="21" t="s">
        <v>1305</v>
      </c>
      <c r="H21" s="21" t="s">
        <v>1306</v>
      </c>
      <c r="I21" s="22">
        <f>DATE(2024,8,6)</f>
        <v>45510</v>
      </c>
      <c r="J21" s="22">
        <f>DATE(2024,8,6)</f>
        <v>45510</v>
      </c>
      <c r="K21" s="22">
        <f>DATE(2025,6,30)</f>
        <v>45838</v>
      </c>
      <c r="L21" s="21" t="s">
        <v>1307</v>
      </c>
      <c r="M21" s="21" t="s">
        <v>1302</v>
      </c>
    </row>
    <row r="22" spans="1:13" x14ac:dyDescent="0.25">
      <c r="A22" s="21" t="s">
        <v>1347</v>
      </c>
      <c r="B22" s="21" t="s">
        <v>1348</v>
      </c>
      <c r="C22" s="21" t="s">
        <v>1296</v>
      </c>
      <c r="D22" s="21" t="s">
        <v>1297</v>
      </c>
      <c r="E22" s="21" t="s">
        <v>1298</v>
      </c>
      <c r="F22" s="21" t="s">
        <v>1297</v>
      </c>
      <c r="G22" s="21" t="s">
        <v>1305</v>
      </c>
      <c r="H22" s="21" t="s">
        <v>1306</v>
      </c>
      <c r="I22" s="22">
        <f t="shared" ref="I22:J24" si="1">DATE(2023,12,19)</f>
        <v>45279</v>
      </c>
      <c r="J22" s="22">
        <f t="shared" si="1"/>
        <v>45279</v>
      </c>
      <c r="K22" s="22">
        <f>DATE(2025,1,1)</f>
        <v>45658</v>
      </c>
      <c r="L22" s="21" t="s">
        <v>1307</v>
      </c>
      <c r="M22" s="21" t="s">
        <v>1302</v>
      </c>
    </row>
    <row r="23" spans="1:13" x14ac:dyDescent="0.25">
      <c r="A23" s="21" t="s">
        <v>1349</v>
      </c>
      <c r="B23" s="21" t="s">
        <v>1350</v>
      </c>
      <c r="C23" s="21" t="s">
        <v>1296</v>
      </c>
      <c r="D23" s="21" t="s">
        <v>1297</v>
      </c>
      <c r="E23" s="21" t="s">
        <v>1298</v>
      </c>
      <c r="F23" s="21" t="s">
        <v>1297</v>
      </c>
      <c r="G23" s="21" t="s">
        <v>1305</v>
      </c>
      <c r="H23" s="21" t="s">
        <v>1306</v>
      </c>
      <c r="I23" s="22">
        <f t="shared" si="1"/>
        <v>45279</v>
      </c>
      <c r="J23" s="22">
        <f t="shared" si="1"/>
        <v>45279</v>
      </c>
      <c r="K23" s="22">
        <f>DATE(2025,1,1)</f>
        <v>45658</v>
      </c>
      <c r="L23" s="21" t="s">
        <v>1307</v>
      </c>
      <c r="M23" s="21" t="s">
        <v>1302</v>
      </c>
    </row>
    <row r="24" spans="1:13" x14ac:dyDescent="0.25">
      <c r="A24" s="21" t="s">
        <v>1351</v>
      </c>
      <c r="B24" s="21" t="s">
        <v>1352</v>
      </c>
      <c r="C24" s="21" t="s">
        <v>1296</v>
      </c>
      <c r="D24" s="21" t="s">
        <v>1297</v>
      </c>
      <c r="E24" s="21" t="s">
        <v>1298</v>
      </c>
      <c r="F24" s="21" t="s">
        <v>1297</v>
      </c>
      <c r="G24" s="21" t="s">
        <v>1305</v>
      </c>
      <c r="H24" s="21" t="s">
        <v>1306</v>
      </c>
      <c r="I24" s="22">
        <f t="shared" si="1"/>
        <v>45279</v>
      </c>
      <c r="J24" s="22">
        <f t="shared" si="1"/>
        <v>45279</v>
      </c>
      <c r="K24" s="22">
        <f>DATE(2025,1,1)</f>
        <v>45658</v>
      </c>
      <c r="L24" s="21" t="s">
        <v>1307</v>
      </c>
      <c r="M24" s="21" t="s">
        <v>1302</v>
      </c>
    </row>
    <row r="25" spans="1:13" x14ac:dyDescent="0.25">
      <c r="A25" s="21" t="s">
        <v>1353</v>
      </c>
      <c r="B25" s="21" t="s">
        <v>1354</v>
      </c>
      <c r="C25" s="21" t="s">
        <v>1296</v>
      </c>
      <c r="D25" s="21" t="s">
        <v>1297</v>
      </c>
      <c r="E25" s="21" t="s">
        <v>1298</v>
      </c>
      <c r="F25" s="21" t="s">
        <v>1297</v>
      </c>
      <c r="G25" s="21" t="s">
        <v>1305</v>
      </c>
      <c r="H25" s="21" t="s">
        <v>1306</v>
      </c>
      <c r="I25" s="22">
        <f>DATE(2024,2,16)</f>
        <v>45338</v>
      </c>
      <c r="J25" s="22">
        <f>DATE(2024,2,16)</f>
        <v>45338</v>
      </c>
      <c r="K25" s="22">
        <f>DATE(2025,1,1)</f>
        <v>45658</v>
      </c>
      <c r="L25" s="21" t="s">
        <v>1307</v>
      </c>
      <c r="M25" s="21" t="s">
        <v>1302</v>
      </c>
    </row>
    <row r="26" spans="1:13" x14ac:dyDescent="0.25">
      <c r="A26" s="21" t="s">
        <v>1355</v>
      </c>
      <c r="B26" s="21" t="s">
        <v>1356</v>
      </c>
      <c r="C26" s="21" t="s">
        <v>1296</v>
      </c>
      <c r="D26" s="21" t="s">
        <v>1297</v>
      </c>
      <c r="E26" s="21" t="s">
        <v>1298</v>
      </c>
      <c r="F26" s="21" t="s">
        <v>1297</v>
      </c>
      <c r="G26" s="21" t="s">
        <v>1305</v>
      </c>
      <c r="H26" s="21" t="s">
        <v>1306</v>
      </c>
      <c r="I26" s="22">
        <f>DATE(2024,8,23)</f>
        <v>45527</v>
      </c>
      <c r="J26" s="22">
        <f>DATE(2024,8,23)</f>
        <v>45527</v>
      </c>
      <c r="K26" s="22">
        <f>DATE(2025,4,1)</f>
        <v>45748</v>
      </c>
      <c r="L26" s="21" t="s">
        <v>1307</v>
      </c>
      <c r="M26" s="21" t="s">
        <v>1302</v>
      </c>
    </row>
    <row r="27" spans="1:13" x14ac:dyDescent="0.25">
      <c r="A27" s="21" t="s">
        <v>1357</v>
      </c>
      <c r="B27" s="21" t="s">
        <v>1358</v>
      </c>
      <c r="C27" s="21" t="s">
        <v>1359</v>
      </c>
      <c r="D27" s="21" t="s">
        <v>1297</v>
      </c>
      <c r="E27" s="21" t="s">
        <v>1298</v>
      </c>
      <c r="F27" s="21" t="s">
        <v>1297</v>
      </c>
      <c r="G27" s="21" t="s">
        <v>1305</v>
      </c>
      <c r="H27" s="21" t="s">
        <v>1300</v>
      </c>
      <c r="I27" s="22">
        <f>DATE(2020,3,12)</f>
        <v>43902</v>
      </c>
      <c r="J27" s="22">
        <f>DATE(2020,3,12)</f>
        <v>43902</v>
      </c>
      <c r="K27" s="22">
        <f>DATE(2025,3,12)</f>
        <v>45728</v>
      </c>
      <c r="L27" s="21" t="s">
        <v>1301</v>
      </c>
      <c r="M27" s="21" t="s">
        <v>1360</v>
      </c>
    </row>
    <row r="28" spans="1:13" x14ac:dyDescent="0.25">
      <c r="A28" s="21" t="s">
        <v>1361</v>
      </c>
      <c r="B28" s="21" t="s">
        <v>1362</v>
      </c>
      <c r="C28" s="21" t="s">
        <v>1296</v>
      </c>
      <c r="D28" s="21" t="s">
        <v>1297</v>
      </c>
      <c r="E28" s="21" t="s">
        <v>1298</v>
      </c>
      <c r="F28" s="21" t="s">
        <v>1363</v>
      </c>
      <c r="G28" s="21" t="s">
        <v>1364</v>
      </c>
      <c r="H28" s="21" t="s">
        <v>1297</v>
      </c>
      <c r="I28" s="22">
        <f>DATE(1900,1,1)</f>
        <v>1</v>
      </c>
      <c r="J28" s="22">
        <f>DATE(1900,1,1)</f>
        <v>1</v>
      </c>
      <c r="K28" s="22">
        <f>DATE(1900,1,1)</f>
        <v>1</v>
      </c>
      <c r="L28" s="21" t="s">
        <v>1297</v>
      </c>
      <c r="M28" s="21" t="s">
        <v>1302</v>
      </c>
    </row>
    <row r="29" spans="1:13" x14ac:dyDescent="0.25">
      <c r="A29" s="21" t="s">
        <v>1365</v>
      </c>
      <c r="B29" s="21" t="s">
        <v>1366</v>
      </c>
      <c r="C29" s="21" t="s">
        <v>1296</v>
      </c>
      <c r="D29" s="21" t="s">
        <v>1297</v>
      </c>
      <c r="E29" s="21" t="s">
        <v>1298</v>
      </c>
      <c r="F29" s="21" t="s">
        <v>1363</v>
      </c>
      <c r="G29" s="21" t="s">
        <v>1305</v>
      </c>
      <c r="H29" s="21" t="s">
        <v>1300</v>
      </c>
      <c r="I29" s="22">
        <f>DATE(2019,12,6)</f>
        <v>43805</v>
      </c>
      <c r="J29" s="22">
        <f>DATE(2019,12,6)</f>
        <v>43805</v>
      </c>
      <c r="K29" s="22">
        <f>DATE(2024,12,6)</f>
        <v>45632</v>
      </c>
      <c r="L29" s="21" t="s">
        <v>1301</v>
      </c>
      <c r="M29" s="21" t="s">
        <v>1302</v>
      </c>
    </row>
    <row r="30" spans="1:13" x14ac:dyDescent="0.25">
      <c r="A30" s="21" t="s">
        <v>1367</v>
      </c>
      <c r="B30" s="21" t="s">
        <v>1368</v>
      </c>
      <c r="C30" s="21" t="s">
        <v>1296</v>
      </c>
      <c r="D30" s="21" t="s">
        <v>1297</v>
      </c>
      <c r="E30" s="21" t="s">
        <v>1298</v>
      </c>
      <c r="F30" s="21" t="s">
        <v>1369</v>
      </c>
      <c r="G30" s="21" t="s">
        <v>1305</v>
      </c>
      <c r="H30" s="21" t="s">
        <v>1306</v>
      </c>
      <c r="I30" s="22">
        <f>DATE(2024,7,12)</f>
        <v>45485</v>
      </c>
      <c r="J30" s="22">
        <f>DATE(2024,7,12)</f>
        <v>45485</v>
      </c>
      <c r="K30" s="22">
        <f>DATE(2025,7,8)</f>
        <v>45846</v>
      </c>
      <c r="L30" s="21" t="s">
        <v>1307</v>
      </c>
      <c r="M30" s="21" t="s">
        <v>1302</v>
      </c>
    </row>
    <row r="31" spans="1:13" x14ac:dyDescent="0.25">
      <c r="A31" s="21" t="s">
        <v>1370</v>
      </c>
      <c r="B31" s="21" t="s">
        <v>1371</v>
      </c>
      <c r="C31" s="21" t="s">
        <v>1296</v>
      </c>
      <c r="D31" s="21" t="s">
        <v>1297</v>
      </c>
      <c r="E31" s="21" t="s">
        <v>1298</v>
      </c>
      <c r="F31" s="21" t="s">
        <v>1369</v>
      </c>
      <c r="G31" s="21" t="s">
        <v>1305</v>
      </c>
      <c r="H31" s="21" t="s">
        <v>1321</v>
      </c>
      <c r="I31" s="22">
        <f>DATE(2024,6,24)</f>
        <v>45467</v>
      </c>
      <c r="J31" s="22">
        <f>DATE(2024,6,24)</f>
        <v>45467</v>
      </c>
      <c r="K31" s="22">
        <f>DATE(1900,1,1)</f>
        <v>1</v>
      </c>
      <c r="L31" s="21" t="s">
        <v>1322</v>
      </c>
      <c r="M31" s="21" t="s">
        <v>1302</v>
      </c>
    </row>
    <row r="32" spans="1:13" x14ac:dyDescent="0.25">
      <c r="A32" s="21" t="s">
        <v>1372</v>
      </c>
      <c r="B32" s="21" t="s">
        <v>1373</v>
      </c>
      <c r="C32" s="21" t="s">
        <v>1296</v>
      </c>
      <c r="D32" s="21" t="s">
        <v>1297</v>
      </c>
      <c r="E32" s="21" t="s">
        <v>1298</v>
      </c>
      <c r="F32" s="21" t="s">
        <v>1369</v>
      </c>
      <c r="G32" s="21" t="s">
        <v>1305</v>
      </c>
      <c r="H32" s="21" t="s">
        <v>1300</v>
      </c>
      <c r="I32" s="22">
        <f>DATE(2023,8,14)</f>
        <v>45152</v>
      </c>
      <c r="J32" s="22">
        <f>DATE(2023,8,14)</f>
        <v>45152</v>
      </c>
      <c r="K32" s="22">
        <f>DATE(2028,8,14)</f>
        <v>46979</v>
      </c>
      <c r="L32" s="21" t="s">
        <v>1374</v>
      </c>
      <c r="M32" s="21" t="s">
        <v>1302</v>
      </c>
    </row>
    <row r="33" spans="1:13" x14ac:dyDescent="0.25">
      <c r="A33" s="21" t="s">
        <v>1375</v>
      </c>
      <c r="B33" s="21" t="s">
        <v>1376</v>
      </c>
      <c r="C33" s="21" t="s">
        <v>1296</v>
      </c>
      <c r="D33" s="21" t="s">
        <v>1297</v>
      </c>
      <c r="E33" s="21" t="s">
        <v>1298</v>
      </c>
      <c r="F33" s="21" t="s">
        <v>1369</v>
      </c>
      <c r="G33" s="21" t="s">
        <v>1305</v>
      </c>
      <c r="H33" s="21" t="s">
        <v>1316</v>
      </c>
      <c r="I33" s="22">
        <f>DATE(2024,6,11)</f>
        <v>45454</v>
      </c>
      <c r="J33" s="22">
        <f>DATE(2024,6,11)</f>
        <v>45454</v>
      </c>
      <c r="K33" s="22">
        <f>DATE(2029,6,11)</f>
        <v>47280</v>
      </c>
      <c r="L33" s="21" t="s">
        <v>1307</v>
      </c>
      <c r="M33" s="21" t="s">
        <v>1302</v>
      </c>
    </row>
    <row r="34" spans="1:13" x14ac:dyDescent="0.25">
      <c r="A34" s="21" t="s">
        <v>1377</v>
      </c>
      <c r="B34" s="21" t="s">
        <v>1378</v>
      </c>
      <c r="C34" s="21" t="s">
        <v>1296</v>
      </c>
      <c r="D34" s="21" t="s">
        <v>1297</v>
      </c>
      <c r="E34" s="21" t="s">
        <v>1298</v>
      </c>
      <c r="F34" s="21" t="s">
        <v>1379</v>
      </c>
      <c r="G34" s="21" t="s">
        <v>1305</v>
      </c>
      <c r="H34" s="21" t="s">
        <v>1306</v>
      </c>
      <c r="I34" s="22">
        <f>DATE(2024,7,1)</f>
        <v>45474</v>
      </c>
      <c r="J34" s="22">
        <f>DATE(2024,7,1)</f>
        <v>45474</v>
      </c>
      <c r="K34" s="22">
        <f>DATE(2025,6,30)</f>
        <v>45838</v>
      </c>
      <c r="L34" s="21" t="s">
        <v>1307</v>
      </c>
      <c r="M34" s="21" t="s">
        <v>1302</v>
      </c>
    </row>
    <row r="35" spans="1:13" x14ac:dyDescent="0.25">
      <c r="A35" s="21" t="s">
        <v>1380</v>
      </c>
      <c r="B35" s="21" t="s">
        <v>1381</v>
      </c>
      <c r="C35" s="21" t="s">
        <v>1296</v>
      </c>
      <c r="D35" s="21" t="s">
        <v>1297</v>
      </c>
      <c r="E35" s="21" t="s">
        <v>1298</v>
      </c>
      <c r="F35" s="21" t="s">
        <v>1379</v>
      </c>
      <c r="G35" s="21" t="s">
        <v>1305</v>
      </c>
      <c r="H35" s="21" t="s">
        <v>1300</v>
      </c>
      <c r="I35" s="22">
        <f>DATE(2020,2,11)</f>
        <v>43872</v>
      </c>
      <c r="J35" s="22">
        <f>DATE(2020,2,11)</f>
        <v>43872</v>
      </c>
      <c r="K35" s="22">
        <f>DATE(2025,2,11)</f>
        <v>45699</v>
      </c>
      <c r="L35" s="21" t="s">
        <v>1301</v>
      </c>
      <c r="M35" s="21" t="s">
        <v>1302</v>
      </c>
    </row>
    <row r="36" spans="1:13" x14ac:dyDescent="0.25">
      <c r="A36" s="21" t="s">
        <v>1382</v>
      </c>
      <c r="B36" s="21" t="s">
        <v>1383</v>
      </c>
      <c r="C36" s="21" t="s">
        <v>1296</v>
      </c>
      <c r="D36" s="21" t="s">
        <v>1297</v>
      </c>
      <c r="E36" s="21" t="s">
        <v>1298</v>
      </c>
      <c r="F36" s="21" t="s">
        <v>1379</v>
      </c>
      <c r="G36" s="21" t="s">
        <v>1305</v>
      </c>
      <c r="H36" s="21" t="s">
        <v>1306</v>
      </c>
      <c r="I36" s="22">
        <f>DATE(2024,11,5)</f>
        <v>45601</v>
      </c>
      <c r="J36" s="22">
        <f>DATE(2024,11,5)</f>
        <v>45601</v>
      </c>
      <c r="K36" s="22">
        <f>DATE(2025,7,1)</f>
        <v>45839</v>
      </c>
      <c r="L36" s="21" t="s">
        <v>1307</v>
      </c>
      <c r="M36" s="21" t="s">
        <v>1302</v>
      </c>
    </row>
    <row r="37" spans="1:13" x14ac:dyDescent="0.25">
      <c r="A37" s="21" t="s">
        <v>1384</v>
      </c>
      <c r="B37" s="21" t="s">
        <v>1385</v>
      </c>
      <c r="C37" s="21" t="s">
        <v>1296</v>
      </c>
      <c r="D37" s="21" t="s">
        <v>1297</v>
      </c>
      <c r="E37" s="21" t="s">
        <v>1298</v>
      </c>
      <c r="F37" s="21" t="s">
        <v>1379</v>
      </c>
      <c r="G37" s="21" t="s">
        <v>1305</v>
      </c>
      <c r="H37" s="21" t="s">
        <v>1386</v>
      </c>
      <c r="I37" s="22">
        <f>DATE(2024,6,5)</f>
        <v>45448</v>
      </c>
      <c r="J37" s="22">
        <f>DATE(2024,6,5)</f>
        <v>45448</v>
      </c>
      <c r="K37" s="22">
        <f>DATE(2029,6,5)</f>
        <v>47274</v>
      </c>
      <c r="L37" s="21" t="s">
        <v>1307</v>
      </c>
      <c r="M37" s="21" t="s">
        <v>1302</v>
      </c>
    </row>
    <row r="38" spans="1:13" x14ac:dyDescent="0.25">
      <c r="A38" s="21" t="s">
        <v>1387</v>
      </c>
      <c r="B38" s="21" t="s">
        <v>1388</v>
      </c>
      <c r="C38" s="21" t="s">
        <v>1296</v>
      </c>
      <c r="D38" s="21" t="s">
        <v>1297</v>
      </c>
      <c r="E38" s="21" t="s">
        <v>1298</v>
      </c>
      <c r="F38" s="21" t="s">
        <v>1379</v>
      </c>
      <c r="G38" s="21" t="s">
        <v>1305</v>
      </c>
      <c r="H38" s="21" t="s">
        <v>1306</v>
      </c>
      <c r="I38" s="22">
        <f>DATE(2024,11,26)</f>
        <v>45622</v>
      </c>
      <c r="J38" s="22">
        <f>DATE(2024,11,26)</f>
        <v>45622</v>
      </c>
      <c r="K38" s="22">
        <f>DATE(2025,1,31)</f>
        <v>45688</v>
      </c>
      <c r="L38" s="21" t="s">
        <v>1307</v>
      </c>
      <c r="M38" s="21" t="s">
        <v>1302</v>
      </c>
    </row>
    <row r="39" spans="1:13" x14ac:dyDescent="0.25">
      <c r="A39" s="21" t="s">
        <v>1389</v>
      </c>
      <c r="B39" s="21" t="s">
        <v>1390</v>
      </c>
      <c r="C39" s="21" t="s">
        <v>1296</v>
      </c>
      <c r="D39" s="21" t="s">
        <v>1297</v>
      </c>
      <c r="E39" s="21" t="s">
        <v>1298</v>
      </c>
      <c r="F39" s="21" t="s">
        <v>1379</v>
      </c>
      <c r="G39" s="21" t="s">
        <v>1305</v>
      </c>
      <c r="H39" s="21" t="s">
        <v>1306</v>
      </c>
      <c r="I39" s="22">
        <f>DATE(2024,10,11)</f>
        <v>45576</v>
      </c>
      <c r="J39" s="22">
        <f>DATE(2024,10,11)</f>
        <v>45576</v>
      </c>
      <c r="K39" s="22">
        <f>DATE(2025,2,8)</f>
        <v>45696</v>
      </c>
      <c r="L39" s="21" t="s">
        <v>1307</v>
      </c>
      <c r="M39" s="21" t="s">
        <v>1302</v>
      </c>
    </row>
    <row r="40" spans="1:13" x14ac:dyDescent="0.25">
      <c r="A40" s="21" t="s">
        <v>1391</v>
      </c>
      <c r="B40" s="21" t="s">
        <v>1392</v>
      </c>
      <c r="C40" s="21" t="s">
        <v>1296</v>
      </c>
      <c r="D40" s="21" t="s">
        <v>1297</v>
      </c>
      <c r="E40" s="21" t="s">
        <v>1298</v>
      </c>
      <c r="F40" s="21" t="s">
        <v>1379</v>
      </c>
      <c r="G40" s="21" t="s">
        <v>1305</v>
      </c>
      <c r="H40" s="21" t="s">
        <v>1386</v>
      </c>
      <c r="I40" s="22">
        <f>DATE(2023,10,11)</f>
        <v>45210</v>
      </c>
      <c r="J40" s="22">
        <f>DATE(2023,10,11)</f>
        <v>45210</v>
      </c>
      <c r="K40" s="22">
        <f>DATE(2028,10,11)</f>
        <v>47037</v>
      </c>
      <c r="L40" s="21" t="s">
        <v>1307</v>
      </c>
      <c r="M40" s="21" t="s">
        <v>1302</v>
      </c>
    </row>
    <row r="41" spans="1:13" x14ac:dyDescent="0.25">
      <c r="A41" s="21" t="s">
        <v>1393</v>
      </c>
      <c r="B41" s="21" t="s">
        <v>1394</v>
      </c>
      <c r="C41" s="21" t="s">
        <v>1296</v>
      </c>
      <c r="D41" s="21" t="s">
        <v>1297</v>
      </c>
      <c r="E41" s="21" t="s">
        <v>1298</v>
      </c>
      <c r="F41" s="21" t="s">
        <v>1379</v>
      </c>
      <c r="G41" s="21" t="s">
        <v>1305</v>
      </c>
      <c r="H41" s="21" t="s">
        <v>1300</v>
      </c>
      <c r="I41" s="22">
        <f>DATE(2023,9,14)</f>
        <v>45183</v>
      </c>
      <c r="J41" s="22">
        <f>DATE(2023,9,14)</f>
        <v>45183</v>
      </c>
      <c r="K41" s="22">
        <f>DATE(2028,9,14)</f>
        <v>47010</v>
      </c>
      <c r="L41" s="21" t="s">
        <v>1307</v>
      </c>
      <c r="M41" s="21" t="s">
        <v>1302</v>
      </c>
    </row>
    <row r="42" spans="1:13" x14ac:dyDescent="0.25">
      <c r="A42" s="21" t="s">
        <v>1395</v>
      </c>
      <c r="B42" s="21" t="s">
        <v>1396</v>
      </c>
      <c r="C42" s="21" t="s">
        <v>1296</v>
      </c>
      <c r="D42" s="21" t="s">
        <v>1297</v>
      </c>
      <c r="E42" s="21" t="s">
        <v>1298</v>
      </c>
      <c r="F42" s="21" t="s">
        <v>1379</v>
      </c>
      <c r="G42" s="21" t="s">
        <v>1305</v>
      </c>
      <c r="H42" s="21" t="s">
        <v>1300</v>
      </c>
      <c r="I42" s="22">
        <f>DATE(2020,2,13)</f>
        <v>43874</v>
      </c>
      <c r="J42" s="22">
        <f>DATE(2020,2,13)</f>
        <v>43874</v>
      </c>
      <c r="K42" s="22">
        <f>DATE(2025,2,13)</f>
        <v>45701</v>
      </c>
      <c r="L42" s="21" t="s">
        <v>1301</v>
      </c>
      <c r="M42" s="21" t="s">
        <v>1302</v>
      </c>
    </row>
    <row r="43" spans="1:13" x14ac:dyDescent="0.25">
      <c r="A43" s="21" t="s">
        <v>1397</v>
      </c>
      <c r="B43" s="21" t="s">
        <v>1398</v>
      </c>
      <c r="C43" s="21" t="s">
        <v>1296</v>
      </c>
      <c r="D43" s="21" t="s">
        <v>1297</v>
      </c>
      <c r="E43" s="21" t="s">
        <v>1298</v>
      </c>
      <c r="F43" s="21" t="s">
        <v>1379</v>
      </c>
      <c r="G43" s="21" t="s">
        <v>1305</v>
      </c>
      <c r="H43" s="21" t="s">
        <v>1306</v>
      </c>
      <c r="I43" s="22">
        <f>DATE(2024,7,2)</f>
        <v>45475</v>
      </c>
      <c r="J43" s="22">
        <f t="shared" ref="J43:J53" si="2">DATE(2024,7,1)</f>
        <v>45474</v>
      </c>
      <c r="K43" s="22">
        <f t="shared" ref="K43:K53" si="3">DATE(2025,6,30)</f>
        <v>45838</v>
      </c>
      <c r="L43" s="21" t="s">
        <v>1307</v>
      </c>
      <c r="M43" s="21" t="s">
        <v>1302</v>
      </c>
    </row>
    <row r="44" spans="1:13" x14ac:dyDescent="0.25">
      <c r="A44" s="21" t="s">
        <v>1399</v>
      </c>
      <c r="B44" s="21" t="s">
        <v>1400</v>
      </c>
      <c r="C44" s="21" t="s">
        <v>1296</v>
      </c>
      <c r="D44" s="21" t="s">
        <v>1297</v>
      </c>
      <c r="E44" s="21" t="s">
        <v>1298</v>
      </c>
      <c r="F44" s="21" t="s">
        <v>1379</v>
      </c>
      <c r="G44" s="21" t="s">
        <v>1305</v>
      </c>
      <c r="H44" s="21" t="s">
        <v>1306</v>
      </c>
      <c r="I44" s="22">
        <f t="shared" ref="I44:I53" si="4">DATE(2024,7,1)</f>
        <v>45474</v>
      </c>
      <c r="J44" s="22">
        <f t="shared" si="2"/>
        <v>45474</v>
      </c>
      <c r="K44" s="22">
        <f t="shared" si="3"/>
        <v>45838</v>
      </c>
      <c r="L44" s="21" t="s">
        <v>1307</v>
      </c>
      <c r="M44" s="21" t="s">
        <v>1302</v>
      </c>
    </row>
    <row r="45" spans="1:13" x14ac:dyDescent="0.25">
      <c r="A45" s="21" t="s">
        <v>1401</v>
      </c>
      <c r="B45" s="21" t="s">
        <v>1402</v>
      </c>
      <c r="C45" s="21" t="s">
        <v>1296</v>
      </c>
      <c r="D45" s="21" t="s">
        <v>1297</v>
      </c>
      <c r="E45" s="21" t="s">
        <v>1298</v>
      </c>
      <c r="F45" s="21" t="s">
        <v>1379</v>
      </c>
      <c r="G45" s="21" t="s">
        <v>1305</v>
      </c>
      <c r="H45" s="21" t="s">
        <v>1306</v>
      </c>
      <c r="I45" s="22">
        <f t="shared" si="4"/>
        <v>45474</v>
      </c>
      <c r="J45" s="22">
        <f t="shared" si="2"/>
        <v>45474</v>
      </c>
      <c r="K45" s="22">
        <f t="shared" si="3"/>
        <v>45838</v>
      </c>
      <c r="L45" s="21" t="s">
        <v>1307</v>
      </c>
      <c r="M45" s="21" t="s">
        <v>1302</v>
      </c>
    </row>
    <row r="46" spans="1:13" x14ac:dyDescent="0.25">
      <c r="A46" s="21" t="s">
        <v>1403</v>
      </c>
      <c r="B46" s="21" t="s">
        <v>1404</v>
      </c>
      <c r="C46" s="21" t="s">
        <v>1296</v>
      </c>
      <c r="D46" s="21" t="s">
        <v>1297</v>
      </c>
      <c r="E46" s="21" t="s">
        <v>1298</v>
      </c>
      <c r="F46" s="21" t="s">
        <v>1379</v>
      </c>
      <c r="G46" s="21" t="s">
        <v>1305</v>
      </c>
      <c r="H46" s="21" t="s">
        <v>1306</v>
      </c>
      <c r="I46" s="22">
        <f t="shared" si="4"/>
        <v>45474</v>
      </c>
      <c r="J46" s="22">
        <f t="shared" si="2"/>
        <v>45474</v>
      </c>
      <c r="K46" s="22">
        <f t="shared" si="3"/>
        <v>45838</v>
      </c>
      <c r="L46" s="21" t="s">
        <v>1307</v>
      </c>
      <c r="M46" s="21" t="s">
        <v>1302</v>
      </c>
    </row>
    <row r="47" spans="1:13" x14ac:dyDescent="0.25">
      <c r="A47" s="21" t="s">
        <v>1405</v>
      </c>
      <c r="B47" s="21" t="s">
        <v>1406</v>
      </c>
      <c r="C47" s="21" t="s">
        <v>1296</v>
      </c>
      <c r="D47" s="21" t="s">
        <v>1297</v>
      </c>
      <c r="E47" s="21" t="s">
        <v>1298</v>
      </c>
      <c r="F47" s="21" t="s">
        <v>1379</v>
      </c>
      <c r="G47" s="21" t="s">
        <v>1305</v>
      </c>
      <c r="H47" s="21" t="s">
        <v>1306</v>
      </c>
      <c r="I47" s="22">
        <f t="shared" si="4"/>
        <v>45474</v>
      </c>
      <c r="J47" s="22">
        <f t="shared" si="2"/>
        <v>45474</v>
      </c>
      <c r="K47" s="22">
        <f t="shared" si="3"/>
        <v>45838</v>
      </c>
      <c r="L47" s="21" t="s">
        <v>1307</v>
      </c>
      <c r="M47" s="21" t="s">
        <v>1302</v>
      </c>
    </row>
    <row r="48" spans="1:13" x14ac:dyDescent="0.25">
      <c r="A48" s="21" t="s">
        <v>1407</v>
      </c>
      <c r="B48" s="21" t="s">
        <v>1408</v>
      </c>
      <c r="C48" s="21" t="s">
        <v>1296</v>
      </c>
      <c r="D48" s="21" t="s">
        <v>1297</v>
      </c>
      <c r="E48" s="21" t="s">
        <v>1298</v>
      </c>
      <c r="F48" s="21" t="s">
        <v>1379</v>
      </c>
      <c r="G48" s="21" t="s">
        <v>1305</v>
      </c>
      <c r="H48" s="21" t="s">
        <v>1306</v>
      </c>
      <c r="I48" s="22">
        <f t="shared" si="4"/>
        <v>45474</v>
      </c>
      <c r="J48" s="22">
        <f t="shared" si="2"/>
        <v>45474</v>
      </c>
      <c r="K48" s="22">
        <f t="shared" si="3"/>
        <v>45838</v>
      </c>
      <c r="L48" s="21" t="s">
        <v>1307</v>
      </c>
      <c r="M48" s="21" t="s">
        <v>1302</v>
      </c>
    </row>
    <row r="49" spans="1:13" x14ac:dyDescent="0.25">
      <c r="A49" s="21" t="s">
        <v>1409</v>
      </c>
      <c r="B49" s="21" t="s">
        <v>1410</v>
      </c>
      <c r="C49" s="21" t="s">
        <v>1296</v>
      </c>
      <c r="D49" s="21" t="s">
        <v>1297</v>
      </c>
      <c r="E49" s="21" t="s">
        <v>1298</v>
      </c>
      <c r="F49" s="21" t="s">
        <v>1379</v>
      </c>
      <c r="G49" s="21" t="s">
        <v>1305</v>
      </c>
      <c r="H49" s="21" t="s">
        <v>1306</v>
      </c>
      <c r="I49" s="22">
        <f t="shared" si="4"/>
        <v>45474</v>
      </c>
      <c r="J49" s="22">
        <f t="shared" si="2"/>
        <v>45474</v>
      </c>
      <c r="K49" s="22">
        <f t="shared" si="3"/>
        <v>45838</v>
      </c>
      <c r="L49" s="21" t="s">
        <v>1307</v>
      </c>
      <c r="M49" s="21" t="s">
        <v>1302</v>
      </c>
    </row>
    <row r="50" spans="1:13" x14ac:dyDescent="0.25">
      <c r="A50" s="21" t="s">
        <v>1411</v>
      </c>
      <c r="B50" s="21" t="s">
        <v>1412</v>
      </c>
      <c r="C50" s="21" t="s">
        <v>1296</v>
      </c>
      <c r="D50" s="21" t="s">
        <v>1297</v>
      </c>
      <c r="E50" s="21" t="s">
        <v>1298</v>
      </c>
      <c r="F50" s="21" t="s">
        <v>1379</v>
      </c>
      <c r="G50" s="21" t="s">
        <v>1305</v>
      </c>
      <c r="H50" s="21" t="s">
        <v>1306</v>
      </c>
      <c r="I50" s="22">
        <f t="shared" si="4"/>
        <v>45474</v>
      </c>
      <c r="J50" s="22">
        <f t="shared" si="2"/>
        <v>45474</v>
      </c>
      <c r="K50" s="22">
        <f t="shared" si="3"/>
        <v>45838</v>
      </c>
      <c r="L50" s="21" t="s">
        <v>1307</v>
      </c>
      <c r="M50" s="21" t="s">
        <v>1302</v>
      </c>
    </row>
    <row r="51" spans="1:13" x14ac:dyDescent="0.25">
      <c r="A51" s="21" t="s">
        <v>1413</v>
      </c>
      <c r="B51" s="21" t="s">
        <v>1414</v>
      </c>
      <c r="C51" s="21" t="s">
        <v>1296</v>
      </c>
      <c r="D51" s="21" t="s">
        <v>1297</v>
      </c>
      <c r="E51" s="21" t="s">
        <v>1298</v>
      </c>
      <c r="F51" s="21" t="s">
        <v>1379</v>
      </c>
      <c r="G51" s="21" t="s">
        <v>1305</v>
      </c>
      <c r="H51" s="21" t="s">
        <v>1306</v>
      </c>
      <c r="I51" s="22">
        <f t="shared" si="4"/>
        <v>45474</v>
      </c>
      <c r="J51" s="22">
        <f t="shared" si="2"/>
        <v>45474</v>
      </c>
      <c r="K51" s="22">
        <f t="shared" si="3"/>
        <v>45838</v>
      </c>
      <c r="L51" s="21" t="s">
        <v>1307</v>
      </c>
      <c r="M51" s="21" t="s">
        <v>1302</v>
      </c>
    </row>
    <row r="52" spans="1:13" x14ac:dyDescent="0.25">
      <c r="A52" s="21" t="s">
        <v>1415</v>
      </c>
      <c r="B52" s="21" t="s">
        <v>1416</v>
      </c>
      <c r="C52" s="21" t="s">
        <v>1296</v>
      </c>
      <c r="D52" s="21" t="s">
        <v>1297</v>
      </c>
      <c r="E52" s="21" t="s">
        <v>1298</v>
      </c>
      <c r="F52" s="21" t="s">
        <v>1379</v>
      </c>
      <c r="G52" s="21" t="s">
        <v>1305</v>
      </c>
      <c r="H52" s="21" t="s">
        <v>1306</v>
      </c>
      <c r="I52" s="22">
        <f t="shared" si="4"/>
        <v>45474</v>
      </c>
      <c r="J52" s="22">
        <f t="shared" si="2"/>
        <v>45474</v>
      </c>
      <c r="K52" s="22">
        <f t="shared" si="3"/>
        <v>45838</v>
      </c>
      <c r="L52" s="21" t="s">
        <v>1307</v>
      </c>
      <c r="M52" s="21" t="s">
        <v>1302</v>
      </c>
    </row>
    <row r="53" spans="1:13" x14ac:dyDescent="0.25">
      <c r="A53" s="21" t="s">
        <v>1417</v>
      </c>
      <c r="B53" s="21" t="s">
        <v>1418</v>
      </c>
      <c r="C53" s="21" t="s">
        <v>1296</v>
      </c>
      <c r="D53" s="21" t="s">
        <v>1297</v>
      </c>
      <c r="E53" s="21" t="s">
        <v>1298</v>
      </c>
      <c r="F53" s="21" t="s">
        <v>1379</v>
      </c>
      <c r="G53" s="21" t="s">
        <v>1305</v>
      </c>
      <c r="H53" s="21" t="s">
        <v>1306</v>
      </c>
      <c r="I53" s="22">
        <f t="shared" si="4"/>
        <v>45474</v>
      </c>
      <c r="J53" s="22">
        <f t="shared" si="2"/>
        <v>45474</v>
      </c>
      <c r="K53" s="22">
        <f t="shared" si="3"/>
        <v>45838</v>
      </c>
      <c r="L53" s="21" t="s">
        <v>1307</v>
      </c>
      <c r="M53" s="21" t="s">
        <v>1302</v>
      </c>
    </row>
    <row r="54" spans="1:13" x14ac:dyDescent="0.25">
      <c r="A54" s="21" t="s">
        <v>1419</v>
      </c>
      <c r="B54" s="21" t="s">
        <v>1420</v>
      </c>
      <c r="C54" s="21" t="s">
        <v>1296</v>
      </c>
      <c r="D54" s="21" t="s">
        <v>1297</v>
      </c>
      <c r="E54" s="21" t="s">
        <v>1298</v>
      </c>
      <c r="F54" s="21" t="s">
        <v>1379</v>
      </c>
      <c r="G54" s="21" t="s">
        <v>1305</v>
      </c>
      <c r="H54" s="21" t="s">
        <v>1321</v>
      </c>
      <c r="I54" s="22">
        <f>DATE(2024,11,20)</f>
        <v>45616</v>
      </c>
      <c r="J54" s="22">
        <f>DATE(2024,11,20)</f>
        <v>45616</v>
      </c>
      <c r="K54" s="22">
        <f>DATE(1900,1,1)</f>
        <v>1</v>
      </c>
      <c r="L54" s="21" t="s">
        <v>1322</v>
      </c>
      <c r="M54" s="21" t="s">
        <v>1302</v>
      </c>
    </row>
    <row r="55" spans="1:13" x14ac:dyDescent="0.25">
      <c r="A55" s="21" t="s">
        <v>1421</v>
      </c>
      <c r="B55" s="21" t="s">
        <v>1422</v>
      </c>
      <c r="C55" s="21" t="s">
        <v>1296</v>
      </c>
      <c r="D55" s="21" t="s">
        <v>1297</v>
      </c>
      <c r="E55" s="21" t="s">
        <v>1298</v>
      </c>
      <c r="F55" s="21" t="s">
        <v>1379</v>
      </c>
      <c r="G55" s="21" t="s">
        <v>1364</v>
      </c>
      <c r="H55" s="21" t="s">
        <v>1297</v>
      </c>
      <c r="I55" s="22">
        <f>DATE(1900,1,1)</f>
        <v>1</v>
      </c>
      <c r="J55" s="22">
        <f>DATE(1900,1,1)</f>
        <v>1</v>
      </c>
      <c r="K55" s="22">
        <f>DATE(1900,1,1)</f>
        <v>1</v>
      </c>
      <c r="L55" s="21" t="s">
        <v>1297</v>
      </c>
      <c r="M55" s="21" t="s">
        <v>1302</v>
      </c>
    </row>
    <row r="56" spans="1:13" x14ac:dyDescent="0.25">
      <c r="A56" s="21" t="s">
        <v>1423</v>
      </c>
      <c r="B56" s="21" t="s">
        <v>1424</v>
      </c>
      <c r="C56" s="21" t="s">
        <v>1296</v>
      </c>
      <c r="D56" s="21" t="s">
        <v>1297</v>
      </c>
      <c r="E56" s="21" t="s">
        <v>1298</v>
      </c>
      <c r="F56" s="21" t="s">
        <v>1379</v>
      </c>
      <c r="G56" s="21" t="s">
        <v>1305</v>
      </c>
      <c r="H56" s="21" t="s">
        <v>1300</v>
      </c>
      <c r="I56" s="22">
        <f>DATE(2020,3,17)</f>
        <v>43907</v>
      </c>
      <c r="J56" s="22">
        <f>DATE(2020,3,17)</f>
        <v>43907</v>
      </c>
      <c r="K56" s="22">
        <f>DATE(2025,3,17)</f>
        <v>45733</v>
      </c>
      <c r="L56" s="21" t="s">
        <v>1301</v>
      </c>
      <c r="M56" s="21" t="s">
        <v>1302</v>
      </c>
    </row>
    <row r="57" spans="1:13" x14ac:dyDescent="0.25">
      <c r="A57" s="21" t="s">
        <v>1425</v>
      </c>
      <c r="B57" s="21" t="s">
        <v>1426</v>
      </c>
      <c r="C57" s="21" t="s">
        <v>1296</v>
      </c>
      <c r="D57" s="21" t="s">
        <v>1297</v>
      </c>
      <c r="E57" s="21" t="s">
        <v>1298</v>
      </c>
      <c r="F57" s="21" t="s">
        <v>1379</v>
      </c>
      <c r="G57" s="21" t="s">
        <v>1305</v>
      </c>
      <c r="H57" s="21" t="s">
        <v>1300</v>
      </c>
      <c r="I57" s="22">
        <f>DATE(2020,3,2)</f>
        <v>43892</v>
      </c>
      <c r="J57" s="22">
        <f>DATE(2020,3,2)</f>
        <v>43892</v>
      </c>
      <c r="K57" s="22">
        <f>DATE(2025,3,2)</f>
        <v>45718</v>
      </c>
      <c r="L57" s="21" t="s">
        <v>1301</v>
      </c>
      <c r="M57" s="21" t="s">
        <v>1302</v>
      </c>
    </row>
    <row r="58" spans="1:13" x14ac:dyDescent="0.25">
      <c r="A58" s="21" t="s">
        <v>1427</v>
      </c>
      <c r="B58" s="21" t="s">
        <v>1428</v>
      </c>
      <c r="C58" s="21" t="s">
        <v>1296</v>
      </c>
      <c r="D58" s="21" t="s">
        <v>1297</v>
      </c>
      <c r="E58" s="21" t="s">
        <v>1298</v>
      </c>
      <c r="F58" s="21" t="s">
        <v>1379</v>
      </c>
      <c r="G58" s="21" t="s">
        <v>1305</v>
      </c>
      <c r="H58" s="21" t="s">
        <v>1316</v>
      </c>
      <c r="I58" s="22">
        <f>DATE(2023,11,7)</f>
        <v>45237</v>
      </c>
      <c r="J58" s="22">
        <f>DATE(2023,11,7)</f>
        <v>45237</v>
      </c>
      <c r="K58" s="22">
        <f>DATE(2028,11,7)</f>
        <v>47064</v>
      </c>
      <c r="L58" s="21" t="s">
        <v>1307</v>
      </c>
      <c r="M58" s="21" t="s">
        <v>1302</v>
      </c>
    </row>
    <row r="59" spans="1:13" x14ac:dyDescent="0.25">
      <c r="A59" s="21" t="s">
        <v>1429</v>
      </c>
      <c r="B59" s="21" t="s">
        <v>1430</v>
      </c>
      <c r="C59" s="21" t="s">
        <v>1296</v>
      </c>
      <c r="D59" s="21" t="s">
        <v>1297</v>
      </c>
      <c r="E59" s="21" t="s">
        <v>1298</v>
      </c>
      <c r="F59" s="21" t="s">
        <v>1379</v>
      </c>
      <c r="G59" s="21" t="s">
        <v>1305</v>
      </c>
      <c r="H59" s="21" t="s">
        <v>1306</v>
      </c>
      <c r="I59" s="22">
        <f>DATE(2024,2,16)</f>
        <v>45338</v>
      </c>
      <c r="J59" s="22">
        <f>DATE(2024,2,16)</f>
        <v>45338</v>
      </c>
      <c r="K59" s="22">
        <f>DATE(2025,3,1)</f>
        <v>45717</v>
      </c>
      <c r="L59" s="21" t="s">
        <v>1307</v>
      </c>
      <c r="M59" s="21" t="s">
        <v>1302</v>
      </c>
    </row>
    <row r="60" spans="1:13" x14ac:dyDescent="0.25">
      <c r="A60" s="21" t="s">
        <v>1431</v>
      </c>
      <c r="B60" s="21" t="s">
        <v>1432</v>
      </c>
      <c r="C60" s="21" t="s">
        <v>1296</v>
      </c>
      <c r="D60" s="21" t="s">
        <v>1297</v>
      </c>
      <c r="E60" s="21" t="s">
        <v>1298</v>
      </c>
      <c r="F60" s="21" t="s">
        <v>1379</v>
      </c>
      <c r="G60" s="21" t="s">
        <v>1305</v>
      </c>
      <c r="H60" s="21" t="s">
        <v>1306</v>
      </c>
      <c r="I60" s="22">
        <f>DATE(2024,4,2)</f>
        <v>45384</v>
      </c>
      <c r="J60" s="22">
        <f>DATE(2024,4,2)</f>
        <v>45384</v>
      </c>
      <c r="K60" s="22">
        <f>DATE(2025,4,1)</f>
        <v>45748</v>
      </c>
      <c r="L60" s="21" t="s">
        <v>1307</v>
      </c>
      <c r="M60" s="21" t="s">
        <v>1302</v>
      </c>
    </row>
    <row r="61" spans="1:13" x14ac:dyDescent="0.25">
      <c r="A61" s="21" t="s">
        <v>1433</v>
      </c>
      <c r="B61" s="21" t="s">
        <v>1434</v>
      </c>
      <c r="C61" s="21" t="s">
        <v>1296</v>
      </c>
      <c r="D61" s="21" t="s">
        <v>1297</v>
      </c>
      <c r="E61" s="21" t="s">
        <v>1298</v>
      </c>
      <c r="F61" s="21" t="s">
        <v>1379</v>
      </c>
      <c r="G61" s="21" t="s">
        <v>1305</v>
      </c>
      <c r="H61" s="21" t="s">
        <v>1316</v>
      </c>
      <c r="I61" s="22">
        <f>DATE(2024,2,28)</f>
        <v>45350</v>
      </c>
      <c r="J61" s="22">
        <f>DATE(2024,2,28)</f>
        <v>45350</v>
      </c>
      <c r="K61" s="22">
        <f>DATE(2029,2,28)</f>
        <v>47177</v>
      </c>
      <c r="L61" s="21" t="s">
        <v>1307</v>
      </c>
      <c r="M61" s="21" t="s">
        <v>1302</v>
      </c>
    </row>
    <row r="62" spans="1:13" x14ac:dyDescent="0.25">
      <c r="A62" s="21" t="s">
        <v>1435</v>
      </c>
      <c r="B62" s="21" t="s">
        <v>1436</v>
      </c>
      <c r="C62" s="21" t="s">
        <v>1296</v>
      </c>
      <c r="D62" s="21" t="s">
        <v>1297</v>
      </c>
      <c r="E62" s="21" t="s">
        <v>1298</v>
      </c>
      <c r="F62" s="21" t="s">
        <v>1379</v>
      </c>
      <c r="G62" s="21" t="s">
        <v>1305</v>
      </c>
      <c r="H62" s="21" t="s">
        <v>1316</v>
      </c>
      <c r="I62" s="22">
        <f>DATE(2021,4,1)</f>
        <v>44287</v>
      </c>
      <c r="J62" s="22">
        <f>DATE(2021,4,1)</f>
        <v>44287</v>
      </c>
      <c r="K62" s="22">
        <f>DATE(2026,4,1)</f>
        <v>46113</v>
      </c>
      <c r="L62" s="21" t="s">
        <v>1301</v>
      </c>
      <c r="M62" s="21" t="s">
        <v>1302</v>
      </c>
    </row>
    <row r="63" spans="1:13" x14ac:dyDescent="0.25">
      <c r="A63" s="21" t="s">
        <v>1437</v>
      </c>
      <c r="B63" s="21" t="s">
        <v>1438</v>
      </c>
      <c r="C63" s="21" t="s">
        <v>1296</v>
      </c>
      <c r="D63" s="21" t="s">
        <v>1297</v>
      </c>
      <c r="E63" s="21" t="s">
        <v>1298</v>
      </c>
      <c r="F63" s="21" t="s">
        <v>1379</v>
      </c>
      <c r="G63" s="21" t="s">
        <v>1305</v>
      </c>
      <c r="H63" s="21" t="s">
        <v>1300</v>
      </c>
      <c r="I63" s="22">
        <f>DATE(2020,3,18)</f>
        <v>43908</v>
      </c>
      <c r="J63" s="22">
        <f>DATE(2020,3,18)</f>
        <v>43908</v>
      </c>
      <c r="K63" s="22">
        <f>DATE(2025,3,18)</f>
        <v>45734</v>
      </c>
      <c r="L63" s="21" t="s">
        <v>1301</v>
      </c>
      <c r="M63" s="21" t="s">
        <v>1302</v>
      </c>
    </row>
    <row r="64" spans="1:13" x14ac:dyDescent="0.25">
      <c r="A64" s="21" t="s">
        <v>1439</v>
      </c>
      <c r="B64" s="21" t="s">
        <v>1440</v>
      </c>
      <c r="C64" s="21" t="s">
        <v>1296</v>
      </c>
      <c r="D64" s="21" t="s">
        <v>1297</v>
      </c>
      <c r="E64" s="21" t="s">
        <v>1298</v>
      </c>
      <c r="F64" s="21" t="s">
        <v>1379</v>
      </c>
      <c r="G64" s="21" t="s">
        <v>1305</v>
      </c>
      <c r="H64" s="21" t="s">
        <v>1300</v>
      </c>
      <c r="I64" s="22">
        <f>DATE(2020,2,14)</f>
        <v>43875</v>
      </c>
      <c r="J64" s="22">
        <f>DATE(2020,2,14)</f>
        <v>43875</v>
      </c>
      <c r="K64" s="22">
        <f>DATE(2025,2,14)</f>
        <v>45702</v>
      </c>
      <c r="L64" s="21" t="s">
        <v>1301</v>
      </c>
      <c r="M64" s="21" t="s">
        <v>1302</v>
      </c>
    </row>
    <row r="65" spans="1:13" x14ac:dyDescent="0.25">
      <c r="A65" s="21" t="s">
        <v>1441</v>
      </c>
      <c r="B65" s="21" t="s">
        <v>1442</v>
      </c>
      <c r="C65" s="21" t="s">
        <v>1296</v>
      </c>
      <c r="D65" s="21" t="s">
        <v>1297</v>
      </c>
      <c r="E65" s="21" t="s">
        <v>1298</v>
      </c>
      <c r="F65" s="21" t="s">
        <v>1379</v>
      </c>
      <c r="G65" s="21" t="s">
        <v>1305</v>
      </c>
      <c r="H65" s="21" t="s">
        <v>1316</v>
      </c>
      <c r="I65" s="22">
        <f>DATE(2020,3,19)</f>
        <v>43909</v>
      </c>
      <c r="J65" s="22">
        <f>DATE(2020,3,19)</f>
        <v>43909</v>
      </c>
      <c r="K65" s="22">
        <f>DATE(2025,3,19)</f>
        <v>45735</v>
      </c>
      <c r="L65" s="21" t="s">
        <v>1301</v>
      </c>
      <c r="M65" s="21" t="s">
        <v>1302</v>
      </c>
    </row>
    <row r="66" spans="1:13" x14ac:dyDescent="0.25">
      <c r="A66" s="21" t="s">
        <v>1443</v>
      </c>
      <c r="B66" s="21" t="s">
        <v>1444</v>
      </c>
      <c r="C66" s="21" t="s">
        <v>1296</v>
      </c>
      <c r="D66" s="21" t="s">
        <v>1297</v>
      </c>
      <c r="E66" s="21" t="s">
        <v>1298</v>
      </c>
      <c r="F66" s="21" t="s">
        <v>1379</v>
      </c>
      <c r="G66" s="21" t="s">
        <v>1305</v>
      </c>
      <c r="H66" s="21" t="s">
        <v>1306</v>
      </c>
      <c r="I66" s="22">
        <f>DATE(2024,7,1)</f>
        <v>45474</v>
      </c>
      <c r="J66" s="22">
        <f>DATE(2024,7,1)</f>
        <v>45474</v>
      </c>
      <c r="K66" s="22">
        <f>DATE(2025,6,30)</f>
        <v>45838</v>
      </c>
      <c r="L66" s="21" t="s">
        <v>1307</v>
      </c>
      <c r="M66" s="21" t="s">
        <v>1302</v>
      </c>
    </row>
    <row r="67" spans="1:13" x14ac:dyDescent="0.25">
      <c r="A67" s="21" t="s">
        <v>1445</v>
      </c>
      <c r="B67" s="21" t="s">
        <v>1446</v>
      </c>
      <c r="C67" s="21" t="s">
        <v>1296</v>
      </c>
      <c r="D67" s="21" t="s">
        <v>1297</v>
      </c>
      <c r="E67" s="21" t="s">
        <v>1298</v>
      </c>
      <c r="F67" s="21" t="s">
        <v>1379</v>
      </c>
      <c r="G67" s="21" t="s">
        <v>1299</v>
      </c>
      <c r="H67" s="21" t="s">
        <v>1316</v>
      </c>
      <c r="I67" s="22">
        <f>DATE(2020,3,19)</f>
        <v>43909</v>
      </c>
      <c r="J67" s="22">
        <f>DATE(2020,3,19)</f>
        <v>43909</v>
      </c>
      <c r="K67" s="22">
        <f>DATE(2025,3,19)</f>
        <v>45735</v>
      </c>
      <c r="L67" s="21" t="s">
        <v>1301</v>
      </c>
      <c r="M67" s="21" t="s">
        <v>1302</v>
      </c>
    </row>
    <row r="68" spans="1:13" x14ac:dyDescent="0.25">
      <c r="A68" s="21" t="s">
        <v>1447</v>
      </c>
      <c r="B68" s="21" t="s">
        <v>1448</v>
      </c>
      <c r="C68" s="21" t="s">
        <v>1296</v>
      </c>
      <c r="D68" s="21" t="s">
        <v>1297</v>
      </c>
      <c r="E68" s="21" t="s">
        <v>1298</v>
      </c>
      <c r="F68" s="21" t="s">
        <v>1379</v>
      </c>
      <c r="G68" s="21" t="s">
        <v>1305</v>
      </c>
      <c r="H68" s="21" t="s">
        <v>1306</v>
      </c>
      <c r="I68" s="22">
        <f t="shared" ref="I68:J71" si="5">DATE(2023,12,19)</f>
        <v>45279</v>
      </c>
      <c r="J68" s="22">
        <f t="shared" si="5"/>
        <v>45279</v>
      </c>
      <c r="K68" s="22">
        <f>DATE(2025,1,1)</f>
        <v>45658</v>
      </c>
      <c r="L68" s="21" t="s">
        <v>1307</v>
      </c>
      <c r="M68" s="21" t="s">
        <v>1302</v>
      </c>
    </row>
    <row r="69" spans="1:13" x14ac:dyDescent="0.25">
      <c r="A69" s="21" t="s">
        <v>1449</v>
      </c>
      <c r="B69" s="21" t="s">
        <v>1450</v>
      </c>
      <c r="C69" s="21" t="s">
        <v>1296</v>
      </c>
      <c r="D69" s="21" t="s">
        <v>1297</v>
      </c>
      <c r="E69" s="21" t="s">
        <v>1298</v>
      </c>
      <c r="F69" s="21" t="s">
        <v>1379</v>
      </c>
      <c r="G69" s="21" t="s">
        <v>1305</v>
      </c>
      <c r="H69" s="21" t="s">
        <v>1306</v>
      </c>
      <c r="I69" s="22">
        <f t="shared" si="5"/>
        <v>45279</v>
      </c>
      <c r="J69" s="22">
        <f t="shared" si="5"/>
        <v>45279</v>
      </c>
      <c r="K69" s="22">
        <f>DATE(2025,1,1)</f>
        <v>45658</v>
      </c>
      <c r="L69" s="21" t="s">
        <v>1307</v>
      </c>
      <c r="M69" s="21" t="s">
        <v>1302</v>
      </c>
    </row>
    <row r="70" spans="1:13" x14ac:dyDescent="0.25">
      <c r="A70" s="21" t="s">
        <v>1451</v>
      </c>
      <c r="B70" s="21" t="s">
        <v>1452</v>
      </c>
      <c r="C70" s="21" t="s">
        <v>1296</v>
      </c>
      <c r="D70" s="21" t="s">
        <v>1297</v>
      </c>
      <c r="E70" s="21" t="s">
        <v>1298</v>
      </c>
      <c r="F70" s="21" t="s">
        <v>1379</v>
      </c>
      <c r="G70" s="21" t="s">
        <v>1305</v>
      </c>
      <c r="H70" s="21" t="s">
        <v>1306</v>
      </c>
      <c r="I70" s="22">
        <f t="shared" si="5"/>
        <v>45279</v>
      </c>
      <c r="J70" s="22">
        <f t="shared" si="5"/>
        <v>45279</v>
      </c>
      <c r="K70" s="22">
        <f>DATE(2025,1,1)</f>
        <v>45658</v>
      </c>
      <c r="L70" s="21" t="s">
        <v>1307</v>
      </c>
      <c r="M70" s="21" t="s">
        <v>1302</v>
      </c>
    </row>
    <row r="71" spans="1:13" x14ac:dyDescent="0.25">
      <c r="A71" s="21" t="s">
        <v>1453</v>
      </c>
      <c r="B71" s="21" t="s">
        <v>1454</v>
      </c>
      <c r="C71" s="21" t="s">
        <v>1296</v>
      </c>
      <c r="D71" s="21" t="s">
        <v>1297</v>
      </c>
      <c r="E71" s="21" t="s">
        <v>1298</v>
      </c>
      <c r="F71" s="21" t="s">
        <v>1379</v>
      </c>
      <c r="G71" s="21" t="s">
        <v>1305</v>
      </c>
      <c r="H71" s="21" t="s">
        <v>1306</v>
      </c>
      <c r="I71" s="22">
        <f t="shared" si="5"/>
        <v>45279</v>
      </c>
      <c r="J71" s="22">
        <f t="shared" si="5"/>
        <v>45279</v>
      </c>
      <c r="K71" s="22">
        <f>DATE(2025,1,1)</f>
        <v>45658</v>
      </c>
      <c r="L71" s="21" t="s">
        <v>1307</v>
      </c>
      <c r="M71" s="21" t="s">
        <v>1302</v>
      </c>
    </row>
    <row r="72" spans="1:13" x14ac:dyDescent="0.25">
      <c r="A72" s="21" t="s">
        <v>1455</v>
      </c>
      <c r="B72" s="21" t="s">
        <v>1456</v>
      </c>
      <c r="C72" s="21" t="s">
        <v>1296</v>
      </c>
      <c r="D72" s="21" t="s">
        <v>1297</v>
      </c>
      <c r="E72" s="21" t="s">
        <v>1298</v>
      </c>
      <c r="F72" s="21" t="s">
        <v>1379</v>
      </c>
      <c r="G72" s="21" t="s">
        <v>1305</v>
      </c>
      <c r="H72" s="21" t="s">
        <v>1386</v>
      </c>
      <c r="I72" s="22">
        <f>DATE(2024,6,24)</f>
        <v>45467</v>
      </c>
      <c r="J72" s="22">
        <f>DATE(2024,6,24)</f>
        <v>45467</v>
      </c>
      <c r="K72" s="22">
        <f>DATE(2029,6,24)</f>
        <v>47293</v>
      </c>
      <c r="L72" s="21" t="s">
        <v>1307</v>
      </c>
      <c r="M72" s="21" t="s">
        <v>1302</v>
      </c>
    </row>
    <row r="73" spans="1:13" x14ac:dyDescent="0.25">
      <c r="A73" s="21" t="s">
        <v>1457</v>
      </c>
      <c r="B73" s="21" t="s">
        <v>1458</v>
      </c>
      <c r="C73" s="21" t="s">
        <v>1296</v>
      </c>
      <c r="D73" s="21" t="s">
        <v>1297</v>
      </c>
      <c r="E73" s="21" t="s">
        <v>1298</v>
      </c>
      <c r="F73" s="21" t="s">
        <v>1379</v>
      </c>
      <c r="G73" s="21" t="s">
        <v>1305</v>
      </c>
      <c r="H73" s="21" t="s">
        <v>1386</v>
      </c>
      <c r="I73" s="22">
        <f>DATE(2021,5,11)</f>
        <v>44327</v>
      </c>
      <c r="J73" s="22">
        <f>DATE(2021,5,11)</f>
        <v>44327</v>
      </c>
      <c r="K73" s="22">
        <f>DATE(2026,5,11)</f>
        <v>46153</v>
      </c>
      <c r="L73" s="21" t="s">
        <v>1301</v>
      </c>
      <c r="M73" s="21" t="s">
        <v>1302</v>
      </c>
    </row>
    <row r="74" spans="1:13" x14ac:dyDescent="0.25">
      <c r="A74" s="21" t="s">
        <v>1459</v>
      </c>
      <c r="B74" s="21" t="s">
        <v>1460</v>
      </c>
      <c r="C74" s="21" t="s">
        <v>1296</v>
      </c>
      <c r="D74" s="21" t="s">
        <v>1297</v>
      </c>
      <c r="E74" s="21" t="s">
        <v>1298</v>
      </c>
      <c r="F74" s="21" t="s">
        <v>1379</v>
      </c>
      <c r="G74" s="21" t="s">
        <v>1305</v>
      </c>
      <c r="H74" s="21" t="s">
        <v>1306</v>
      </c>
      <c r="I74" s="22">
        <f t="shared" ref="I74:J80" si="6">DATE(2023,12,19)</f>
        <v>45279</v>
      </c>
      <c r="J74" s="22">
        <f t="shared" si="6"/>
        <v>45279</v>
      </c>
      <c r="K74" s="22">
        <f t="shared" ref="K74:K80" si="7">DATE(2025,1,1)</f>
        <v>45658</v>
      </c>
      <c r="L74" s="21" t="s">
        <v>1307</v>
      </c>
      <c r="M74" s="21" t="s">
        <v>1302</v>
      </c>
    </row>
    <row r="75" spans="1:13" x14ac:dyDescent="0.25">
      <c r="A75" s="21" t="s">
        <v>1461</v>
      </c>
      <c r="B75" s="21" t="s">
        <v>1462</v>
      </c>
      <c r="C75" s="21" t="s">
        <v>1296</v>
      </c>
      <c r="D75" s="21" t="s">
        <v>1297</v>
      </c>
      <c r="E75" s="21" t="s">
        <v>1298</v>
      </c>
      <c r="F75" s="21" t="s">
        <v>1379</v>
      </c>
      <c r="G75" s="21" t="s">
        <v>1305</v>
      </c>
      <c r="H75" s="21" t="s">
        <v>1306</v>
      </c>
      <c r="I75" s="22">
        <f t="shared" si="6"/>
        <v>45279</v>
      </c>
      <c r="J75" s="22">
        <f t="shared" si="6"/>
        <v>45279</v>
      </c>
      <c r="K75" s="22">
        <f t="shared" si="7"/>
        <v>45658</v>
      </c>
      <c r="L75" s="21" t="s">
        <v>1307</v>
      </c>
      <c r="M75" s="21" t="s">
        <v>1302</v>
      </c>
    </row>
    <row r="76" spans="1:13" x14ac:dyDescent="0.25">
      <c r="A76" s="21" t="s">
        <v>1463</v>
      </c>
      <c r="B76" s="21" t="s">
        <v>1464</v>
      </c>
      <c r="C76" s="21" t="s">
        <v>1296</v>
      </c>
      <c r="D76" s="21" t="s">
        <v>1297</v>
      </c>
      <c r="E76" s="21" t="s">
        <v>1298</v>
      </c>
      <c r="F76" s="21" t="s">
        <v>1379</v>
      </c>
      <c r="G76" s="21" t="s">
        <v>1305</v>
      </c>
      <c r="H76" s="21" t="s">
        <v>1306</v>
      </c>
      <c r="I76" s="22">
        <f t="shared" si="6"/>
        <v>45279</v>
      </c>
      <c r="J76" s="22">
        <f t="shared" si="6"/>
        <v>45279</v>
      </c>
      <c r="K76" s="22">
        <f t="shared" si="7"/>
        <v>45658</v>
      </c>
      <c r="L76" s="21" t="s">
        <v>1307</v>
      </c>
      <c r="M76" s="21" t="s">
        <v>1302</v>
      </c>
    </row>
    <row r="77" spans="1:13" x14ac:dyDescent="0.25">
      <c r="A77" s="21" t="s">
        <v>1465</v>
      </c>
      <c r="B77" s="21" t="s">
        <v>1466</v>
      </c>
      <c r="C77" s="21" t="s">
        <v>1296</v>
      </c>
      <c r="D77" s="21" t="s">
        <v>1297</v>
      </c>
      <c r="E77" s="21" t="s">
        <v>1298</v>
      </c>
      <c r="F77" s="21" t="s">
        <v>1379</v>
      </c>
      <c r="G77" s="21" t="s">
        <v>1305</v>
      </c>
      <c r="H77" s="21" t="s">
        <v>1306</v>
      </c>
      <c r="I77" s="22">
        <f t="shared" si="6"/>
        <v>45279</v>
      </c>
      <c r="J77" s="22">
        <f t="shared" si="6"/>
        <v>45279</v>
      </c>
      <c r="K77" s="22">
        <f t="shared" si="7"/>
        <v>45658</v>
      </c>
      <c r="L77" s="21" t="s">
        <v>1307</v>
      </c>
      <c r="M77" s="21" t="s">
        <v>1302</v>
      </c>
    </row>
    <row r="78" spans="1:13" x14ac:dyDescent="0.25">
      <c r="A78" s="21" t="s">
        <v>1467</v>
      </c>
      <c r="B78" s="21" t="s">
        <v>1468</v>
      </c>
      <c r="C78" s="21" t="s">
        <v>1296</v>
      </c>
      <c r="D78" s="21" t="s">
        <v>1297</v>
      </c>
      <c r="E78" s="21" t="s">
        <v>1298</v>
      </c>
      <c r="F78" s="21" t="s">
        <v>1379</v>
      </c>
      <c r="G78" s="21" t="s">
        <v>1305</v>
      </c>
      <c r="H78" s="21" t="s">
        <v>1306</v>
      </c>
      <c r="I78" s="22">
        <f t="shared" si="6"/>
        <v>45279</v>
      </c>
      <c r="J78" s="22">
        <f t="shared" si="6"/>
        <v>45279</v>
      </c>
      <c r="K78" s="22">
        <f t="shared" si="7"/>
        <v>45658</v>
      </c>
      <c r="L78" s="21" t="s">
        <v>1307</v>
      </c>
      <c r="M78" s="21" t="s">
        <v>1302</v>
      </c>
    </row>
    <row r="79" spans="1:13" x14ac:dyDescent="0.25">
      <c r="A79" s="21" t="s">
        <v>1469</v>
      </c>
      <c r="B79" s="21" t="s">
        <v>1470</v>
      </c>
      <c r="C79" s="21" t="s">
        <v>1296</v>
      </c>
      <c r="D79" s="21" t="s">
        <v>1297</v>
      </c>
      <c r="E79" s="21" t="s">
        <v>1298</v>
      </c>
      <c r="F79" s="21" t="s">
        <v>1379</v>
      </c>
      <c r="G79" s="21" t="s">
        <v>1305</v>
      </c>
      <c r="H79" s="21" t="s">
        <v>1306</v>
      </c>
      <c r="I79" s="22">
        <f t="shared" si="6"/>
        <v>45279</v>
      </c>
      <c r="J79" s="22">
        <f t="shared" si="6"/>
        <v>45279</v>
      </c>
      <c r="K79" s="22">
        <f t="shared" si="7"/>
        <v>45658</v>
      </c>
      <c r="L79" s="21" t="s">
        <v>1307</v>
      </c>
      <c r="M79" s="21" t="s">
        <v>1302</v>
      </c>
    </row>
    <row r="80" spans="1:13" x14ac:dyDescent="0.25">
      <c r="A80" s="21" t="s">
        <v>1471</v>
      </c>
      <c r="B80" s="21" t="s">
        <v>1472</v>
      </c>
      <c r="C80" s="21" t="s">
        <v>1296</v>
      </c>
      <c r="D80" s="21" t="s">
        <v>1297</v>
      </c>
      <c r="E80" s="21" t="s">
        <v>1298</v>
      </c>
      <c r="F80" s="21" t="s">
        <v>1379</v>
      </c>
      <c r="G80" s="21" t="s">
        <v>1305</v>
      </c>
      <c r="H80" s="21" t="s">
        <v>1306</v>
      </c>
      <c r="I80" s="22">
        <f t="shared" si="6"/>
        <v>45279</v>
      </c>
      <c r="J80" s="22">
        <f t="shared" si="6"/>
        <v>45279</v>
      </c>
      <c r="K80" s="22">
        <f t="shared" si="7"/>
        <v>45658</v>
      </c>
      <c r="L80" s="21" t="s">
        <v>1307</v>
      </c>
      <c r="M80" s="21" t="s">
        <v>1302</v>
      </c>
    </row>
    <row r="81" spans="1:13" x14ac:dyDescent="0.25">
      <c r="A81" s="21" t="s">
        <v>1473</v>
      </c>
      <c r="B81" s="21" t="s">
        <v>1474</v>
      </c>
      <c r="C81" s="21" t="s">
        <v>1296</v>
      </c>
      <c r="D81" s="21" t="s">
        <v>1297</v>
      </c>
      <c r="E81" s="21" t="s">
        <v>1298</v>
      </c>
      <c r="F81" s="21" t="s">
        <v>1379</v>
      </c>
      <c r="G81" s="21" t="s">
        <v>1299</v>
      </c>
      <c r="H81" s="21" t="s">
        <v>1306</v>
      </c>
      <c r="I81" s="22">
        <f>DATE(2022,1,20)</f>
        <v>44581</v>
      </c>
      <c r="J81" s="22">
        <f>DATE(2022,1,20)</f>
        <v>44581</v>
      </c>
      <c r="K81" s="22">
        <f>DATE(2023,1,1)</f>
        <v>44927</v>
      </c>
      <c r="L81" s="21" t="s">
        <v>1301</v>
      </c>
      <c r="M81" s="21" t="s">
        <v>1360</v>
      </c>
    </row>
    <row r="82" spans="1:13" x14ac:dyDescent="0.25">
      <c r="A82" s="21" t="s">
        <v>1475</v>
      </c>
      <c r="B82" s="21" t="s">
        <v>1476</v>
      </c>
      <c r="C82" s="21" t="s">
        <v>1296</v>
      </c>
      <c r="D82" s="21" t="s">
        <v>1297</v>
      </c>
      <c r="E82" s="21" t="s">
        <v>1298</v>
      </c>
      <c r="F82" s="21" t="s">
        <v>1379</v>
      </c>
      <c r="G82" s="21" t="s">
        <v>1299</v>
      </c>
      <c r="H82" s="21" t="s">
        <v>1306</v>
      </c>
      <c r="I82" s="22">
        <f>DATE(2022,1,20)</f>
        <v>44581</v>
      </c>
      <c r="J82" s="22">
        <f>DATE(2022,1,20)</f>
        <v>44581</v>
      </c>
      <c r="K82" s="22">
        <f>DATE(2023,1,1)</f>
        <v>44927</v>
      </c>
      <c r="L82" s="21" t="s">
        <v>1301</v>
      </c>
      <c r="M82" s="21" t="s">
        <v>1360</v>
      </c>
    </row>
    <row r="83" spans="1:13" x14ac:dyDescent="0.25">
      <c r="A83" s="21" t="s">
        <v>1477</v>
      </c>
      <c r="B83" s="21" t="s">
        <v>1478</v>
      </c>
      <c r="C83" s="21" t="s">
        <v>1359</v>
      </c>
      <c r="D83" s="21" t="s">
        <v>1297</v>
      </c>
      <c r="E83" s="21" t="s">
        <v>1298</v>
      </c>
      <c r="F83" s="21" t="s">
        <v>1379</v>
      </c>
      <c r="G83" s="21" t="s">
        <v>1305</v>
      </c>
      <c r="H83" s="21" t="s">
        <v>1300</v>
      </c>
      <c r="I83" s="22">
        <f>DATE(2020,2,18)</f>
        <v>43879</v>
      </c>
      <c r="J83" s="22">
        <f>DATE(2020,2,18)</f>
        <v>43879</v>
      </c>
      <c r="K83" s="22">
        <f>DATE(2025,2,18)</f>
        <v>45706</v>
      </c>
      <c r="L83" s="21" t="s">
        <v>1301</v>
      </c>
      <c r="M83" s="21" t="s">
        <v>1360</v>
      </c>
    </row>
    <row r="84" spans="1:13" x14ac:dyDescent="0.25">
      <c r="A84" s="21" t="s">
        <v>1479</v>
      </c>
      <c r="B84" s="21" t="s">
        <v>1480</v>
      </c>
      <c r="C84" s="21" t="s">
        <v>1296</v>
      </c>
      <c r="D84" s="21" t="s">
        <v>1297</v>
      </c>
      <c r="E84" s="21" t="s">
        <v>1481</v>
      </c>
      <c r="F84" s="21" t="s">
        <v>1298</v>
      </c>
      <c r="G84" s="21" t="s">
        <v>1299</v>
      </c>
      <c r="H84" s="21" t="s">
        <v>1297</v>
      </c>
      <c r="I84" s="22">
        <f>DATE(1900,1,1)</f>
        <v>1</v>
      </c>
      <c r="J84" s="22">
        <f>DATE(1900,1,1)</f>
        <v>1</v>
      </c>
      <c r="K84" s="22">
        <f>DATE(1900,1,1)</f>
        <v>1</v>
      </c>
      <c r="L84" s="21" t="s">
        <v>1297</v>
      </c>
      <c r="M84" s="21" t="s">
        <v>1302</v>
      </c>
    </row>
    <row r="85" spans="1:13" x14ac:dyDescent="0.25">
      <c r="A85" s="21" t="s">
        <v>1482</v>
      </c>
      <c r="B85" s="21" t="s">
        <v>1483</v>
      </c>
      <c r="C85" s="21" t="s">
        <v>1296</v>
      </c>
      <c r="D85" s="21" t="s">
        <v>1297</v>
      </c>
      <c r="E85" s="21" t="s">
        <v>1481</v>
      </c>
      <c r="F85" s="21" t="s">
        <v>1369</v>
      </c>
      <c r="G85" s="21" t="s">
        <v>1299</v>
      </c>
      <c r="H85" s="21" t="s">
        <v>1386</v>
      </c>
      <c r="I85" s="22">
        <f>DATE(2020,8,10)</f>
        <v>44053</v>
      </c>
      <c r="J85" s="22">
        <f>DATE(2020,8,10)</f>
        <v>44053</v>
      </c>
      <c r="K85" s="22">
        <f>DATE(2025,8,10)</f>
        <v>45879</v>
      </c>
      <c r="L85" s="21" t="s">
        <v>1301</v>
      </c>
      <c r="M85" s="21" t="s">
        <v>1302</v>
      </c>
    </row>
    <row r="86" spans="1:13" x14ac:dyDescent="0.25">
      <c r="A86" s="21" t="s">
        <v>1484</v>
      </c>
      <c r="B86" s="21" t="s">
        <v>1485</v>
      </c>
      <c r="C86" s="21" t="s">
        <v>1296</v>
      </c>
      <c r="D86" s="21" t="s">
        <v>1297</v>
      </c>
      <c r="E86" s="21" t="s">
        <v>1481</v>
      </c>
      <c r="F86" s="21" t="s">
        <v>1369</v>
      </c>
      <c r="G86" s="21" t="s">
        <v>1299</v>
      </c>
      <c r="H86" s="21" t="s">
        <v>1300</v>
      </c>
      <c r="I86" s="22">
        <f>DATE(2022,2,22)</f>
        <v>44614</v>
      </c>
      <c r="J86" s="22">
        <f>DATE(2022,2,22)</f>
        <v>44614</v>
      </c>
      <c r="K86" s="22">
        <f>DATE(2027,2,22)</f>
        <v>46440</v>
      </c>
      <c r="L86" s="21" t="s">
        <v>1301</v>
      </c>
      <c r="M86" s="21" t="s">
        <v>1302</v>
      </c>
    </row>
    <row r="87" spans="1:13" x14ac:dyDescent="0.25">
      <c r="A87" s="21" t="s">
        <v>1486</v>
      </c>
      <c r="B87" s="21" t="s">
        <v>1487</v>
      </c>
      <c r="C87" s="21" t="s">
        <v>1296</v>
      </c>
      <c r="D87" s="21" t="s">
        <v>1297</v>
      </c>
      <c r="E87" s="21" t="s">
        <v>1481</v>
      </c>
      <c r="F87" s="21" t="s">
        <v>1369</v>
      </c>
      <c r="G87" s="21" t="s">
        <v>1299</v>
      </c>
      <c r="H87" s="21" t="s">
        <v>1297</v>
      </c>
      <c r="I87" s="22">
        <f>DATE(1900,1,1)</f>
        <v>1</v>
      </c>
      <c r="J87" s="22">
        <f>DATE(1900,1,1)</f>
        <v>1</v>
      </c>
      <c r="K87" s="22">
        <f>DATE(1900,1,1)</f>
        <v>1</v>
      </c>
      <c r="L87" s="21" t="s">
        <v>1297</v>
      </c>
      <c r="M87" s="21" t="s">
        <v>1302</v>
      </c>
    </row>
    <row r="88" spans="1:13" x14ac:dyDescent="0.25">
      <c r="A88" s="21" t="s">
        <v>1488</v>
      </c>
      <c r="B88" s="21" t="s">
        <v>1489</v>
      </c>
      <c r="C88" s="21" t="s">
        <v>1296</v>
      </c>
      <c r="D88" s="21" t="s">
        <v>1297</v>
      </c>
      <c r="E88" s="21" t="s">
        <v>1481</v>
      </c>
      <c r="F88" s="21" t="s">
        <v>1379</v>
      </c>
      <c r="G88" s="21" t="s">
        <v>1299</v>
      </c>
      <c r="H88" s="21" t="s">
        <v>1306</v>
      </c>
      <c r="I88" s="22">
        <f>DATE(2024,6,5)</f>
        <v>45448</v>
      </c>
      <c r="J88" s="22">
        <f>DATE(2024,6,5)</f>
        <v>45448</v>
      </c>
      <c r="K88" s="22">
        <f>DATE(2025,5,31)</f>
        <v>45808</v>
      </c>
      <c r="L88" s="21" t="s">
        <v>1307</v>
      </c>
      <c r="M88" s="21" t="s">
        <v>1302</v>
      </c>
    </row>
    <row r="89" spans="1:13" x14ac:dyDescent="0.25">
      <c r="A89" s="21" t="s">
        <v>1490</v>
      </c>
      <c r="B89" s="21" t="s">
        <v>1491</v>
      </c>
      <c r="C89" s="21" t="s">
        <v>1296</v>
      </c>
      <c r="D89" s="21" t="s">
        <v>1297</v>
      </c>
      <c r="E89" s="21" t="s">
        <v>1481</v>
      </c>
      <c r="F89" s="21" t="s">
        <v>1379</v>
      </c>
      <c r="G89" s="21" t="s">
        <v>1299</v>
      </c>
      <c r="H89" s="21" t="s">
        <v>1306</v>
      </c>
      <c r="I89" s="22">
        <f>DATE(2024,11,4)</f>
        <v>45600</v>
      </c>
      <c r="J89" s="22">
        <f>DATE(2024,11,4)</f>
        <v>45600</v>
      </c>
      <c r="K89" s="22">
        <f>DATE(2025,7,14)</f>
        <v>45852</v>
      </c>
      <c r="L89" s="21" t="s">
        <v>1307</v>
      </c>
      <c r="M89" s="21" t="s">
        <v>1302</v>
      </c>
    </row>
    <row r="90" spans="1:13" x14ac:dyDescent="0.25">
      <c r="A90" s="21" t="s">
        <v>1492</v>
      </c>
      <c r="B90" s="21" t="s">
        <v>1493</v>
      </c>
      <c r="C90" s="21" t="s">
        <v>1296</v>
      </c>
      <c r="D90" s="21" t="s">
        <v>1297</v>
      </c>
      <c r="E90" s="21" t="s">
        <v>1481</v>
      </c>
      <c r="F90" s="21" t="s">
        <v>1379</v>
      </c>
      <c r="G90" s="21" t="s">
        <v>1299</v>
      </c>
      <c r="H90" s="21" t="s">
        <v>1300</v>
      </c>
      <c r="I90" s="22">
        <f>DATE(2020,9,1)</f>
        <v>44075</v>
      </c>
      <c r="J90" s="22">
        <f>DATE(2020,9,1)</f>
        <v>44075</v>
      </c>
      <c r="K90" s="22">
        <f>DATE(2025,9,1)</f>
        <v>45901</v>
      </c>
      <c r="L90" s="21" t="s">
        <v>1301</v>
      </c>
      <c r="M90" s="21" t="s">
        <v>1302</v>
      </c>
    </row>
    <row r="91" spans="1:13" x14ac:dyDescent="0.25">
      <c r="A91" s="21" t="s">
        <v>1494</v>
      </c>
      <c r="B91" s="21" t="s">
        <v>1495</v>
      </c>
      <c r="C91" s="21" t="s">
        <v>1296</v>
      </c>
      <c r="D91" s="21" t="s">
        <v>1297</v>
      </c>
      <c r="E91" s="21" t="s">
        <v>1481</v>
      </c>
      <c r="F91" s="21" t="s">
        <v>1379</v>
      </c>
      <c r="G91" s="21" t="s">
        <v>1299</v>
      </c>
      <c r="H91" s="21" t="s">
        <v>1316</v>
      </c>
      <c r="I91" s="22">
        <f>DATE(2022,1,25)</f>
        <v>44586</v>
      </c>
      <c r="J91" s="22">
        <f>DATE(2022,1,25)</f>
        <v>44586</v>
      </c>
      <c r="K91" s="22">
        <f>DATE(2027,1,25)</f>
        <v>46412</v>
      </c>
      <c r="L91" s="21" t="s">
        <v>1301</v>
      </c>
      <c r="M91" s="21" t="s">
        <v>1302</v>
      </c>
    </row>
    <row r="92" spans="1:13" x14ac:dyDescent="0.25">
      <c r="A92" s="21" t="s">
        <v>1496</v>
      </c>
      <c r="B92" s="21" t="s">
        <v>1497</v>
      </c>
      <c r="C92" s="21" t="s">
        <v>1359</v>
      </c>
      <c r="D92" s="21" t="s">
        <v>1297</v>
      </c>
      <c r="E92" s="21" t="s">
        <v>1481</v>
      </c>
      <c r="F92" s="21" t="s">
        <v>1379</v>
      </c>
      <c r="G92" s="21" t="s">
        <v>1364</v>
      </c>
      <c r="H92" s="21" t="s">
        <v>1297</v>
      </c>
      <c r="I92" s="22">
        <f>DATE(1900,1,1)</f>
        <v>1</v>
      </c>
      <c r="J92" s="22">
        <f>DATE(1900,1,1)</f>
        <v>1</v>
      </c>
      <c r="K92" s="22">
        <f>DATE(1900,1,1)</f>
        <v>1</v>
      </c>
      <c r="L92" s="21" t="s">
        <v>1297</v>
      </c>
      <c r="M92" s="21" t="s">
        <v>1302</v>
      </c>
    </row>
    <row r="93" spans="1:13" x14ac:dyDescent="0.25">
      <c r="A93" s="21" t="s">
        <v>1498</v>
      </c>
      <c r="B93" s="21" t="s">
        <v>1499</v>
      </c>
      <c r="C93" s="21" t="s">
        <v>1296</v>
      </c>
      <c r="D93" s="21" t="s">
        <v>1297</v>
      </c>
      <c r="E93" s="21" t="s">
        <v>1481</v>
      </c>
      <c r="F93" s="21" t="s">
        <v>1379</v>
      </c>
      <c r="G93" s="21" t="s">
        <v>1299</v>
      </c>
      <c r="H93" s="21" t="s">
        <v>1300</v>
      </c>
      <c r="I93" s="22">
        <f>DATE(2023,11,14)</f>
        <v>45244</v>
      </c>
      <c r="J93" s="22">
        <f>DATE(2023,11,14)</f>
        <v>45244</v>
      </c>
      <c r="K93" s="22">
        <f>DATE(2028,11,14)</f>
        <v>47071</v>
      </c>
      <c r="L93" s="21" t="s">
        <v>1307</v>
      </c>
      <c r="M93" s="21" t="s">
        <v>1302</v>
      </c>
    </row>
    <row r="94" spans="1:13" x14ac:dyDescent="0.25">
      <c r="A94" s="21" t="s">
        <v>1500</v>
      </c>
      <c r="B94" s="21" t="s">
        <v>1501</v>
      </c>
      <c r="C94" s="21" t="s">
        <v>1296</v>
      </c>
      <c r="D94" s="21" t="s">
        <v>1297</v>
      </c>
      <c r="E94" s="21" t="s">
        <v>1481</v>
      </c>
      <c r="F94" s="21" t="s">
        <v>1379</v>
      </c>
      <c r="G94" s="21" t="s">
        <v>1299</v>
      </c>
      <c r="H94" s="21" t="s">
        <v>1316</v>
      </c>
      <c r="I94" s="22">
        <f>DATE(2024,1,16)</f>
        <v>45307</v>
      </c>
      <c r="J94" s="22">
        <f>DATE(2024,1,16)</f>
        <v>45307</v>
      </c>
      <c r="K94" s="22">
        <f>DATE(2029,1,16)</f>
        <v>47134</v>
      </c>
      <c r="L94" s="21" t="s">
        <v>1307</v>
      </c>
      <c r="M94" s="21" t="s">
        <v>1302</v>
      </c>
    </row>
    <row r="95" spans="1:13" x14ac:dyDescent="0.25">
      <c r="A95" s="21" t="s">
        <v>1502</v>
      </c>
      <c r="B95" s="21" t="s">
        <v>1503</v>
      </c>
      <c r="C95" s="21" t="s">
        <v>1296</v>
      </c>
      <c r="D95" s="21" t="s">
        <v>1297</v>
      </c>
      <c r="E95" s="21" t="s">
        <v>1481</v>
      </c>
      <c r="F95" s="21" t="s">
        <v>1379</v>
      </c>
      <c r="G95" s="21" t="s">
        <v>1299</v>
      </c>
      <c r="H95" s="21" t="s">
        <v>1316</v>
      </c>
      <c r="I95" s="22">
        <f>DATE(2024,7,2)</f>
        <v>45475</v>
      </c>
      <c r="J95" s="22">
        <f>DATE(2024,7,2)</f>
        <v>45475</v>
      </c>
      <c r="K95" s="22">
        <f>DATE(2029,7,2)</f>
        <v>47301</v>
      </c>
      <c r="L95" s="21" t="s">
        <v>1307</v>
      </c>
      <c r="M95" s="21" t="s">
        <v>1302</v>
      </c>
    </row>
    <row r="96" spans="1:13" x14ac:dyDescent="0.25">
      <c r="A96" s="21" t="s">
        <v>1504</v>
      </c>
      <c r="B96" s="21" t="s">
        <v>1505</v>
      </c>
      <c r="C96" s="21" t="s">
        <v>1296</v>
      </c>
      <c r="D96" s="21" t="s">
        <v>1297</v>
      </c>
      <c r="E96" s="21" t="s">
        <v>1481</v>
      </c>
      <c r="F96" s="21" t="s">
        <v>1379</v>
      </c>
      <c r="G96" s="21" t="s">
        <v>1299</v>
      </c>
      <c r="H96" s="21" t="s">
        <v>1300</v>
      </c>
      <c r="I96" s="22">
        <f>DATE(2020,8,26)</f>
        <v>44069</v>
      </c>
      <c r="J96" s="22">
        <f>DATE(2020,8,26)</f>
        <v>44069</v>
      </c>
      <c r="K96" s="22">
        <f>DATE(2025,8,26)</f>
        <v>45895</v>
      </c>
      <c r="L96" s="21" t="s">
        <v>1301</v>
      </c>
      <c r="M96" s="21" t="s">
        <v>1302</v>
      </c>
    </row>
    <row r="97" spans="1:13" x14ac:dyDescent="0.25">
      <c r="A97" s="21" t="s">
        <v>1506</v>
      </c>
      <c r="B97" s="21" t="s">
        <v>1507</v>
      </c>
      <c r="C97" s="21" t="s">
        <v>1296</v>
      </c>
      <c r="D97" s="21" t="s">
        <v>1297</v>
      </c>
      <c r="E97" s="21" t="s">
        <v>1481</v>
      </c>
      <c r="F97" s="21" t="s">
        <v>1379</v>
      </c>
      <c r="G97" s="21" t="s">
        <v>1299</v>
      </c>
      <c r="H97" s="21" t="s">
        <v>1316</v>
      </c>
      <c r="I97" s="22">
        <f>DATE(2023,11,8)</f>
        <v>45238</v>
      </c>
      <c r="J97" s="22">
        <f>DATE(2023,11,8)</f>
        <v>45238</v>
      </c>
      <c r="K97" s="22">
        <f>DATE(2028,12,7)</f>
        <v>47094</v>
      </c>
      <c r="L97" s="21" t="s">
        <v>1307</v>
      </c>
      <c r="M97" s="21" t="s">
        <v>1302</v>
      </c>
    </row>
    <row r="98" spans="1:13" x14ac:dyDescent="0.25">
      <c r="A98" s="21" t="s">
        <v>1508</v>
      </c>
      <c r="B98" s="21" t="s">
        <v>1509</v>
      </c>
      <c r="C98" s="21" t="s">
        <v>1296</v>
      </c>
      <c r="D98" s="21" t="s">
        <v>1297</v>
      </c>
      <c r="E98" s="21" t="s">
        <v>1481</v>
      </c>
      <c r="F98" s="21" t="s">
        <v>1379</v>
      </c>
      <c r="G98" s="21" t="s">
        <v>1299</v>
      </c>
      <c r="H98" s="21" t="s">
        <v>1306</v>
      </c>
      <c r="I98" s="22">
        <f>DATE(2024,10,3)</f>
        <v>45568</v>
      </c>
      <c r="J98" s="22">
        <f>DATE(2024,10,3)</f>
        <v>45568</v>
      </c>
      <c r="K98" s="22">
        <f>DATE(2025,10,1)</f>
        <v>45931</v>
      </c>
      <c r="L98" s="21" t="s">
        <v>1307</v>
      </c>
      <c r="M98" s="21" t="s">
        <v>1302</v>
      </c>
    </row>
    <row r="99" spans="1:13" x14ac:dyDescent="0.25">
      <c r="A99" s="21" t="s">
        <v>1510</v>
      </c>
      <c r="B99" s="21" t="s">
        <v>1511</v>
      </c>
      <c r="C99" s="21" t="s">
        <v>1296</v>
      </c>
      <c r="D99" s="21" t="s">
        <v>1297</v>
      </c>
      <c r="E99" s="21" t="s">
        <v>1481</v>
      </c>
      <c r="F99" s="21" t="s">
        <v>1379</v>
      </c>
      <c r="G99" s="21" t="s">
        <v>1299</v>
      </c>
      <c r="H99" s="21" t="s">
        <v>1306</v>
      </c>
      <c r="I99" s="22">
        <f>DATE(2024,5,22)</f>
        <v>45434</v>
      </c>
      <c r="J99" s="22">
        <f>DATE(2024,5,22)</f>
        <v>45434</v>
      </c>
      <c r="K99" s="22">
        <f>DATE(2025,5,18)</f>
        <v>45795</v>
      </c>
      <c r="L99" s="21" t="s">
        <v>1307</v>
      </c>
      <c r="M99" s="21" t="s">
        <v>1302</v>
      </c>
    </row>
    <row r="100" spans="1:13" x14ac:dyDescent="0.25">
      <c r="A100" s="21" t="s">
        <v>1512</v>
      </c>
      <c r="B100" s="21" t="s">
        <v>1513</v>
      </c>
      <c r="C100" s="21" t="s">
        <v>1296</v>
      </c>
      <c r="D100" s="21" t="s">
        <v>1297</v>
      </c>
      <c r="E100" s="21" t="s">
        <v>1481</v>
      </c>
      <c r="F100" s="21" t="s">
        <v>1379</v>
      </c>
      <c r="G100" s="21" t="s">
        <v>1299</v>
      </c>
      <c r="H100" s="21" t="s">
        <v>1300</v>
      </c>
      <c r="I100" s="22">
        <f>DATE(2020,9,8)</f>
        <v>44082</v>
      </c>
      <c r="J100" s="22">
        <f>DATE(2020,9,8)</f>
        <v>44082</v>
      </c>
      <c r="K100" s="22">
        <f>DATE(2025,9,8)</f>
        <v>45908</v>
      </c>
      <c r="L100" s="21" t="s">
        <v>1301</v>
      </c>
      <c r="M100" s="21" t="s">
        <v>1302</v>
      </c>
    </row>
    <row r="101" spans="1:13" x14ac:dyDescent="0.25">
      <c r="A101" s="21" t="s">
        <v>1514</v>
      </c>
      <c r="B101" s="21" t="s">
        <v>1515</v>
      </c>
      <c r="C101" s="21" t="s">
        <v>1296</v>
      </c>
      <c r="D101" s="21" t="s">
        <v>1297</v>
      </c>
      <c r="E101" s="21" t="s">
        <v>1481</v>
      </c>
      <c r="F101" s="21" t="s">
        <v>1379</v>
      </c>
      <c r="G101" s="21" t="s">
        <v>1299</v>
      </c>
      <c r="H101" s="21" t="s">
        <v>1300</v>
      </c>
      <c r="I101" s="22">
        <f>DATE(2020,5,22)</f>
        <v>43973</v>
      </c>
      <c r="J101" s="22">
        <f>DATE(2020,5,22)</f>
        <v>43973</v>
      </c>
      <c r="K101" s="22">
        <f>DATE(2025,5,22)</f>
        <v>45799</v>
      </c>
      <c r="L101" s="21" t="s">
        <v>1301</v>
      </c>
      <c r="M101" s="21" t="s">
        <v>1302</v>
      </c>
    </row>
    <row r="102" spans="1:13" x14ac:dyDescent="0.25">
      <c r="A102" s="21" t="s">
        <v>1516</v>
      </c>
      <c r="B102" s="21" t="s">
        <v>1517</v>
      </c>
      <c r="C102" s="21" t="s">
        <v>1296</v>
      </c>
      <c r="D102" s="21" t="s">
        <v>1297</v>
      </c>
      <c r="E102" s="21" t="s">
        <v>1369</v>
      </c>
      <c r="F102" s="21" t="s">
        <v>1297</v>
      </c>
      <c r="G102" s="21" t="s">
        <v>1299</v>
      </c>
      <c r="H102" s="21" t="s">
        <v>1300</v>
      </c>
      <c r="I102" s="22">
        <f>DATE(2024,4,11)</f>
        <v>45393</v>
      </c>
      <c r="J102" s="22">
        <f>DATE(2024,4,11)</f>
        <v>45393</v>
      </c>
      <c r="K102" s="22">
        <f>DATE(2029,4,12)</f>
        <v>47220</v>
      </c>
      <c r="L102" s="21" t="s">
        <v>1307</v>
      </c>
      <c r="M102" s="21" t="s">
        <v>1302</v>
      </c>
    </row>
    <row r="103" spans="1:13" x14ac:dyDescent="0.25">
      <c r="A103" s="21" t="s">
        <v>1518</v>
      </c>
      <c r="B103" s="21" t="s">
        <v>1519</v>
      </c>
      <c r="C103" s="21" t="s">
        <v>1296</v>
      </c>
      <c r="D103" s="21" t="s">
        <v>1297</v>
      </c>
      <c r="E103" s="21" t="s">
        <v>1369</v>
      </c>
      <c r="F103" s="21" t="s">
        <v>1297</v>
      </c>
      <c r="G103" s="21" t="s">
        <v>1305</v>
      </c>
      <c r="H103" s="21" t="s">
        <v>1316</v>
      </c>
      <c r="I103" s="22">
        <f>DATE(2021,3,26)</f>
        <v>44281</v>
      </c>
      <c r="J103" s="22">
        <f>DATE(2021,3,26)</f>
        <v>44281</v>
      </c>
      <c r="K103" s="22">
        <f>DATE(2026,3,26)</f>
        <v>46107</v>
      </c>
      <c r="L103" s="21" t="s">
        <v>1301</v>
      </c>
      <c r="M103" s="21" t="s">
        <v>1302</v>
      </c>
    </row>
    <row r="104" spans="1:13" x14ac:dyDescent="0.25">
      <c r="A104" s="21" t="s">
        <v>1520</v>
      </c>
      <c r="B104" s="21" t="s">
        <v>1521</v>
      </c>
      <c r="C104" s="21" t="s">
        <v>1296</v>
      </c>
      <c r="D104" s="21" t="s">
        <v>1297</v>
      </c>
      <c r="E104" s="21" t="s">
        <v>1369</v>
      </c>
      <c r="F104" s="21" t="s">
        <v>1297</v>
      </c>
      <c r="G104" s="21" t="s">
        <v>1299</v>
      </c>
      <c r="H104" s="21" t="s">
        <v>1386</v>
      </c>
      <c r="I104" s="22">
        <f>DATE(2020,9,14)</f>
        <v>44088</v>
      </c>
      <c r="J104" s="22">
        <f>DATE(2020,9,14)</f>
        <v>44088</v>
      </c>
      <c r="K104" s="22">
        <f>DATE(2025,9,14)</f>
        <v>45914</v>
      </c>
      <c r="L104" s="21" t="s">
        <v>1301</v>
      </c>
      <c r="M104" s="21" t="s">
        <v>1302</v>
      </c>
    </row>
    <row r="105" spans="1:13" x14ac:dyDescent="0.25">
      <c r="A105" s="21" t="s">
        <v>1522</v>
      </c>
      <c r="B105" s="21" t="s">
        <v>1523</v>
      </c>
      <c r="C105" s="21" t="s">
        <v>1296</v>
      </c>
      <c r="D105" s="21" t="s">
        <v>1297</v>
      </c>
      <c r="E105" s="21" t="s">
        <v>1369</v>
      </c>
      <c r="F105" s="21" t="s">
        <v>1297</v>
      </c>
      <c r="G105" s="21" t="s">
        <v>1305</v>
      </c>
      <c r="H105" s="21" t="s">
        <v>1300</v>
      </c>
      <c r="I105" s="22">
        <f>DATE(2021,1,5)</f>
        <v>44201</v>
      </c>
      <c r="J105" s="22">
        <f>DATE(2021,1,5)</f>
        <v>44201</v>
      </c>
      <c r="K105" s="22">
        <f>DATE(2026,1,5)</f>
        <v>46027</v>
      </c>
      <c r="L105" s="21" t="s">
        <v>1301</v>
      </c>
      <c r="M105" s="21" t="s">
        <v>1302</v>
      </c>
    </row>
    <row r="106" spans="1:13" x14ac:dyDescent="0.25">
      <c r="A106" s="21" t="s">
        <v>1524</v>
      </c>
      <c r="B106" s="21" t="s">
        <v>1525</v>
      </c>
      <c r="C106" s="21" t="s">
        <v>1296</v>
      </c>
      <c r="D106" s="21" t="s">
        <v>1297</v>
      </c>
      <c r="E106" s="21" t="s">
        <v>1369</v>
      </c>
      <c r="F106" s="21" t="s">
        <v>1297</v>
      </c>
      <c r="G106" s="21" t="s">
        <v>1299</v>
      </c>
      <c r="H106" s="21" t="s">
        <v>1316</v>
      </c>
      <c r="I106" s="22">
        <f>DATE(2021,4,15)</f>
        <v>44301</v>
      </c>
      <c r="J106" s="22">
        <f>DATE(2021,4,15)</f>
        <v>44301</v>
      </c>
      <c r="K106" s="22">
        <f>DATE(2026,4,15)</f>
        <v>46127</v>
      </c>
      <c r="L106" s="21" t="s">
        <v>1374</v>
      </c>
      <c r="M106" s="21" t="s">
        <v>1302</v>
      </c>
    </row>
    <row r="107" spans="1:13" x14ac:dyDescent="0.25">
      <c r="A107" s="21" t="s">
        <v>1526</v>
      </c>
      <c r="B107" s="21" t="s">
        <v>1527</v>
      </c>
      <c r="C107" s="21" t="s">
        <v>1296</v>
      </c>
      <c r="D107" s="21" t="s">
        <v>1297</v>
      </c>
      <c r="E107" s="21" t="s">
        <v>1369</v>
      </c>
      <c r="F107" s="21" t="s">
        <v>1297</v>
      </c>
      <c r="G107" s="21" t="s">
        <v>1299</v>
      </c>
      <c r="H107" s="21" t="s">
        <v>1300</v>
      </c>
      <c r="I107" s="22">
        <f>DATE(2020,8,12)</f>
        <v>44055</v>
      </c>
      <c r="J107" s="22">
        <f>DATE(2020,8,12)</f>
        <v>44055</v>
      </c>
      <c r="K107" s="22">
        <f>DATE(2025,8,12)</f>
        <v>45881</v>
      </c>
      <c r="L107" s="21" t="s">
        <v>1301</v>
      </c>
      <c r="M107" s="21" t="s">
        <v>1302</v>
      </c>
    </row>
    <row r="108" spans="1:13" x14ac:dyDescent="0.25">
      <c r="A108" s="21" t="s">
        <v>1528</v>
      </c>
      <c r="B108" s="21" t="s">
        <v>1529</v>
      </c>
      <c r="C108" s="21" t="s">
        <v>1296</v>
      </c>
      <c r="D108" s="21" t="s">
        <v>1297</v>
      </c>
      <c r="E108" s="21" t="s">
        <v>1369</v>
      </c>
      <c r="F108" s="21" t="s">
        <v>1297</v>
      </c>
      <c r="G108" s="21" t="s">
        <v>1299</v>
      </c>
      <c r="H108" s="21" t="s">
        <v>1316</v>
      </c>
      <c r="I108" s="22">
        <f>DATE(2024,2,22)</f>
        <v>45344</v>
      </c>
      <c r="J108" s="22">
        <f>DATE(2024,2,22)</f>
        <v>45344</v>
      </c>
      <c r="K108" s="22">
        <f>DATE(2029,2,22)</f>
        <v>47171</v>
      </c>
      <c r="L108" s="21" t="s">
        <v>1307</v>
      </c>
      <c r="M108" s="21" t="s">
        <v>1302</v>
      </c>
    </row>
    <row r="109" spans="1:13" x14ac:dyDescent="0.25">
      <c r="A109" s="21" t="s">
        <v>1530</v>
      </c>
      <c r="B109" s="21" t="s">
        <v>1531</v>
      </c>
      <c r="C109" s="21" t="s">
        <v>1296</v>
      </c>
      <c r="D109" s="21" t="s">
        <v>1297</v>
      </c>
      <c r="E109" s="21" t="s">
        <v>1369</v>
      </c>
      <c r="F109" s="21" t="s">
        <v>1297</v>
      </c>
      <c r="G109" s="21" t="s">
        <v>1299</v>
      </c>
      <c r="H109" s="21" t="s">
        <v>1306</v>
      </c>
      <c r="I109" s="22">
        <f>DATE(2024,5,17)</f>
        <v>45429</v>
      </c>
      <c r="J109" s="22">
        <f>DATE(2024,5,17)</f>
        <v>45429</v>
      </c>
      <c r="K109" s="22">
        <f>DATE(2024,12,9)</f>
        <v>45635</v>
      </c>
      <c r="L109" s="21" t="s">
        <v>1307</v>
      </c>
      <c r="M109" s="21" t="s">
        <v>1302</v>
      </c>
    </row>
    <row r="110" spans="1:13" x14ac:dyDescent="0.25">
      <c r="A110" s="21" t="s">
        <v>1532</v>
      </c>
      <c r="B110" s="21" t="s">
        <v>1533</v>
      </c>
      <c r="C110" s="21" t="s">
        <v>1296</v>
      </c>
      <c r="D110" s="21" t="s">
        <v>1297</v>
      </c>
      <c r="E110" s="21" t="s">
        <v>1369</v>
      </c>
      <c r="F110" s="21" t="s">
        <v>1297</v>
      </c>
      <c r="G110" s="21" t="s">
        <v>1305</v>
      </c>
      <c r="H110" s="21" t="s">
        <v>1316</v>
      </c>
      <c r="I110" s="22">
        <f>DATE(2024,8,28)</f>
        <v>45532</v>
      </c>
      <c r="J110" s="22">
        <f>DATE(2024,8,28)</f>
        <v>45532</v>
      </c>
      <c r="K110" s="22">
        <f>DATE(2029,8,28)</f>
        <v>47358</v>
      </c>
      <c r="L110" s="21" t="s">
        <v>1307</v>
      </c>
      <c r="M110" s="21" t="s">
        <v>1302</v>
      </c>
    </row>
    <row r="111" spans="1:13" x14ac:dyDescent="0.25">
      <c r="A111" s="21" t="s">
        <v>1534</v>
      </c>
      <c r="B111" s="21" t="s">
        <v>1535</v>
      </c>
      <c r="C111" s="21" t="s">
        <v>1296</v>
      </c>
      <c r="D111" s="21" t="s">
        <v>1297</v>
      </c>
      <c r="E111" s="21" t="s">
        <v>1369</v>
      </c>
      <c r="F111" s="21" t="s">
        <v>1297</v>
      </c>
      <c r="G111" s="21" t="s">
        <v>1299</v>
      </c>
      <c r="H111" s="21" t="s">
        <v>1316</v>
      </c>
      <c r="I111" s="22">
        <f>DATE(2021,3,4)</f>
        <v>44259</v>
      </c>
      <c r="J111" s="22">
        <f>DATE(2021,3,4)</f>
        <v>44259</v>
      </c>
      <c r="K111" s="22">
        <f>DATE(2026,3,4)</f>
        <v>46085</v>
      </c>
      <c r="L111" s="21" t="s">
        <v>1301</v>
      </c>
      <c r="M111" s="21" t="s">
        <v>1302</v>
      </c>
    </row>
    <row r="112" spans="1:13" x14ac:dyDescent="0.25">
      <c r="A112" s="21" t="s">
        <v>1536</v>
      </c>
      <c r="B112" s="21" t="s">
        <v>1537</v>
      </c>
      <c r="C112" s="21" t="s">
        <v>1296</v>
      </c>
      <c r="D112" s="21" t="s">
        <v>1297</v>
      </c>
      <c r="E112" s="21" t="s">
        <v>1369</v>
      </c>
      <c r="F112" s="21" t="s">
        <v>1297</v>
      </c>
      <c r="G112" s="21" t="s">
        <v>1305</v>
      </c>
      <c r="H112" s="21" t="s">
        <v>1316</v>
      </c>
      <c r="I112" s="22">
        <f>DATE(2020,12,8)</f>
        <v>44173</v>
      </c>
      <c r="J112" s="22">
        <f>DATE(2020,12,8)</f>
        <v>44173</v>
      </c>
      <c r="K112" s="22">
        <f>DATE(2025,12,8)</f>
        <v>45999</v>
      </c>
      <c r="L112" s="21" t="s">
        <v>1301</v>
      </c>
      <c r="M112" s="21" t="s">
        <v>1302</v>
      </c>
    </row>
    <row r="113" spans="1:13" x14ac:dyDescent="0.25">
      <c r="A113" s="21" t="s">
        <v>1538</v>
      </c>
      <c r="B113" s="21" t="s">
        <v>1539</v>
      </c>
      <c r="C113" s="21" t="s">
        <v>1296</v>
      </c>
      <c r="D113" s="21" t="s">
        <v>1297</v>
      </c>
      <c r="E113" s="21" t="s">
        <v>1369</v>
      </c>
      <c r="F113" s="21" t="s">
        <v>1297</v>
      </c>
      <c r="G113" s="21" t="s">
        <v>1305</v>
      </c>
      <c r="H113" s="21" t="s">
        <v>1386</v>
      </c>
      <c r="I113" s="22">
        <f>DATE(1900,1,1)</f>
        <v>1</v>
      </c>
      <c r="J113" s="22">
        <f>DATE(1900,1,1)</f>
        <v>1</v>
      </c>
      <c r="K113" s="22">
        <f>DATE(1900,1,1)</f>
        <v>1</v>
      </c>
      <c r="L113" s="21" t="s">
        <v>1301</v>
      </c>
      <c r="M113" s="21" t="s">
        <v>1302</v>
      </c>
    </row>
    <row r="114" spans="1:13" x14ac:dyDescent="0.25">
      <c r="A114" s="21" t="s">
        <v>1540</v>
      </c>
      <c r="B114" s="21" t="s">
        <v>1541</v>
      </c>
      <c r="C114" s="21" t="s">
        <v>1296</v>
      </c>
      <c r="D114" s="21" t="s">
        <v>1297</v>
      </c>
      <c r="E114" s="21" t="s">
        <v>1369</v>
      </c>
      <c r="F114" s="21" t="s">
        <v>1297</v>
      </c>
      <c r="G114" s="21" t="s">
        <v>1299</v>
      </c>
      <c r="H114" s="21" t="s">
        <v>1306</v>
      </c>
      <c r="I114" s="22">
        <f>DATE(2024,3,29)</f>
        <v>45380</v>
      </c>
      <c r="J114" s="22">
        <f>DATE(2024,3,29)</f>
        <v>45380</v>
      </c>
      <c r="K114" s="22">
        <f>DATE(2025,2,28)</f>
        <v>45716</v>
      </c>
      <c r="L114" s="21" t="s">
        <v>1307</v>
      </c>
      <c r="M114" s="21" t="s">
        <v>1302</v>
      </c>
    </row>
    <row r="115" spans="1:13" x14ac:dyDescent="0.25">
      <c r="A115" s="21" t="s">
        <v>1542</v>
      </c>
      <c r="B115" s="21" t="s">
        <v>1543</v>
      </c>
      <c r="C115" s="21" t="s">
        <v>1359</v>
      </c>
      <c r="D115" s="21" t="s">
        <v>1297</v>
      </c>
      <c r="E115" s="21" t="s">
        <v>1369</v>
      </c>
      <c r="F115" s="21" t="s">
        <v>1297</v>
      </c>
      <c r="G115" s="21" t="s">
        <v>1299</v>
      </c>
      <c r="H115" s="21" t="s">
        <v>1386</v>
      </c>
      <c r="I115" s="22">
        <f>DATE(2020,8,31)</f>
        <v>44074</v>
      </c>
      <c r="J115" s="22">
        <f>DATE(2020,8,31)</f>
        <v>44074</v>
      </c>
      <c r="K115" s="22">
        <f>DATE(2025,8,31)</f>
        <v>45900</v>
      </c>
      <c r="L115" s="21" t="s">
        <v>1301</v>
      </c>
      <c r="M115" s="21" t="s">
        <v>1360</v>
      </c>
    </row>
    <row r="116" spans="1:13" x14ac:dyDescent="0.25">
      <c r="A116" s="21" t="s">
        <v>1544</v>
      </c>
      <c r="B116" s="21" t="s">
        <v>1545</v>
      </c>
      <c r="C116" s="21" t="s">
        <v>1296</v>
      </c>
      <c r="D116" s="21" t="s">
        <v>1297</v>
      </c>
      <c r="E116" s="21" t="s">
        <v>1369</v>
      </c>
      <c r="F116" s="21" t="s">
        <v>1298</v>
      </c>
      <c r="G116" s="21" t="s">
        <v>1305</v>
      </c>
      <c r="H116" s="21" t="s">
        <v>1306</v>
      </c>
      <c r="I116" s="22">
        <f>DATE(2024,3,15)</f>
        <v>45366</v>
      </c>
      <c r="J116" s="22">
        <f>DATE(2024,3,15)</f>
        <v>45366</v>
      </c>
      <c r="K116" s="22">
        <f>DATE(2024,12,1)</f>
        <v>45627</v>
      </c>
      <c r="L116" s="21" t="s">
        <v>1307</v>
      </c>
      <c r="M116" s="21" t="s">
        <v>1302</v>
      </c>
    </row>
    <row r="117" spans="1:13" x14ac:dyDescent="0.25">
      <c r="A117" s="21" t="s">
        <v>1546</v>
      </c>
      <c r="B117" s="21" t="s">
        <v>1547</v>
      </c>
      <c r="C117" s="21" t="s">
        <v>1296</v>
      </c>
      <c r="D117" s="21" t="s">
        <v>1297</v>
      </c>
      <c r="E117" s="21" t="s">
        <v>1369</v>
      </c>
      <c r="F117" s="21" t="s">
        <v>1298</v>
      </c>
      <c r="G117" s="21" t="s">
        <v>1305</v>
      </c>
      <c r="H117" s="21" t="s">
        <v>1316</v>
      </c>
      <c r="I117" s="22">
        <f>DATE(2021,5,18)</f>
        <v>44334</v>
      </c>
      <c r="J117" s="22">
        <f>DATE(2021,5,18)</f>
        <v>44334</v>
      </c>
      <c r="K117" s="22">
        <f>DATE(2026,5,18)</f>
        <v>46160</v>
      </c>
      <c r="L117" s="21" t="s">
        <v>1301</v>
      </c>
      <c r="M117" s="21" t="s">
        <v>1302</v>
      </c>
    </row>
    <row r="118" spans="1:13" x14ac:dyDescent="0.25">
      <c r="A118" s="21" t="s">
        <v>1548</v>
      </c>
      <c r="B118" s="21" t="s">
        <v>1549</v>
      </c>
      <c r="C118" s="21" t="s">
        <v>1296</v>
      </c>
      <c r="D118" s="21" t="s">
        <v>1297</v>
      </c>
      <c r="E118" s="21" t="s">
        <v>1369</v>
      </c>
      <c r="F118" s="21" t="s">
        <v>1298</v>
      </c>
      <c r="G118" s="21" t="s">
        <v>1305</v>
      </c>
      <c r="H118" s="21" t="s">
        <v>1386</v>
      </c>
      <c r="I118" s="22">
        <f>DATE(2020,6,23)</f>
        <v>44005</v>
      </c>
      <c r="J118" s="22">
        <f>DATE(2020,6,23)</f>
        <v>44005</v>
      </c>
      <c r="K118" s="22">
        <f>DATE(2025,6,23)</f>
        <v>45831</v>
      </c>
      <c r="L118" s="21" t="s">
        <v>1301</v>
      </c>
      <c r="M118" s="21" t="s">
        <v>1302</v>
      </c>
    </row>
    <row r="119" spans="1:13" x14ac:dyDescent="0.25">
      <c r="A119" s="21" t="s">
        <v>1550</v>
      </c>
      <c r="B119" s="21" t="s">
        <v>1551</v>
      </c>
      <c r="C119" s="21" t="s">
        <v>1296</v>
      </c>
      <c r="D119" s="21" t="s">
        <v>1297</v>
      </c>
      <c r="E119" s="21" t="s">
        <v>1369</v>
      </c>
      <c r="F119" s="21" t="s">
        <v>1298</v>
      </c>
      <c r="G119" s="21" t="s">
        <v>1305</v>
      </c>
      <c r="H119" s="21" t="s">
        <v>1316</v>
      </c>
      <c r="I119" s="22">
        <f>DATE(2024,2,19)</f>
        <v>45341</v>
      </c>
      <c r="J119" s="22">
        <f>DATE(2024,2,19)</f>
        <v>45341</v>
      </c>
      <c r="K119" s="22">
        <f>DATE(2029,2,19)</f>
        <v>47168</v>
      </c>
      <c r="L119" s="21" t="s">
        <v>1307</v>
      </c>
      <c r="M119" s="21" t="s">
        <v>1302</v>
      </c>
    </row>
    <row r="120" spans="1:13" x14ac:dyDescent="0.25">
      <c r="A120" s="21" t="s">
        <v>1552</v>
      </c>
      <c r="B120" s="21" t="s">
        <v>1553</v>
      </c>
      <c r="C120" s="21" t="s">
        <v>1296</v>
      </c>
      <c r="D120" s="21" t="s">
        <v>1297</v>
      </c>
      <c r="E120" s="21" t="s">
        <v>1369</v>
      </c>
      <c r="F120" s="21" t="s">
        <v>1481</v>
      </c>
      <c r="G120" s="21" t="s">
        <v>1299</v>
      </c>
      <c r="H120" s="21" t="s">
        <v>1306</v>
      </c>
      <c r="I120" s="22">
        <f>DATE(2024,5,29)</f>
        <v>45441</v>
      </c>
      <c r="J120" s="22">
        <f>DATE(2024,5,29)</f>
        <v>45441</v>
      </c>
      <c r="K120" s="22">
        <f>DATE(2025,6,1)</f>
        <v>45809</v>
      </c>
      <c r="L120" s="21" t="s">
        <v>1307</v>
      </c>
      <c r="M120" s="21" t="s">
        <v>1302</v>
      </c>
    </row>
    <row r="121" spans="1:13" x14ac:dyDescent="0.25">
      <c r="A121" s="21" t="s">
        <v>1554</v>
      </c>
      <c r="B121" s="21" t="s">
        <v>1555</v>
      </c>
      <c r="C121" s="21" t="s">
        <v>1296</v>
      </c>
      <c r="D121" s="21" t="s">
        <v>1297</v>
      </c>
      <c r="E121" s="21" t="s">
        <v>1369</v>
      </c>
      <c r="F121" s="21" t="s">
        <v>1369</v>
      </c>
      <c r="G121" s="21" t="s">
        <v>1305</v>
      </c>
      <c r="H121" s="21" t="s">
        <v>1300</v>
      </c>
      <c r="I121" s="22">
        <f>DATE(2020,7,13)</f>
        <v>44025</v>
      </c>
      <c r="J121" s="22">
        <f>DATE(2020,7,13)</f>
        <v>44025</v>
      </c>
      <c r="K121" s="22">
        <f>DATE(2025,7,13)</f>
        <v>45851</v>
      </c>
      <c r="L121" s="21" t="s">
        <v>1301</v>
      </c>
      <c r="M121" s="21" t="s">
        <v>1302</v>
      </c>
    </row>
    <row r="122" spans="1:13" x14ac:dyDescent="0.25">
      <c r="A122" s="21" t="s">
        <v>1556</v>
      </c>
      <c r="B122" s="21" t="s">
        <v>1557</v>
      </c>
      <c r="C122" s="21" t="s">
        <v>1296</v>
      </c>
      <c r="D122" s="21" t="s">
        <v>1297</v>
      </c>
      <c r="E122" s="21" t="s">
        <v>1369</v>
      </c>
      <c r="F122" s="21" t="s">
        <v>1558</v>
      </c>
      <c r="G122" s="21" t="s">
        <v>1299</v>
      </c>
      <c r="H122" s="21" t="s">
        <v>1306</v>
      </c>
      <c r="I122" s="22">
        <f>DATE(2024,3,21)</f>
        <v>45372</v>
      </c>
      <c r="J122" s="22">
        <f>DATE(2024,3,21)</f>
        <v>45372</v>
      </c>
      <c r="K122" s="22">
        <f>DATE(2025,3,11)</f>
        <v>45727</v>
      </c>
      <c r="L122" s="21" t="s">
        <v>1307</v>
      </c>
      <c r="M122" s="21" t="s">
        <v>1302</v>
      </c>
    </row>
    <row r="123" spans="1:13" x14ac:dyDescent="0.25">
      <c r="A123" s="21" t="s">
        <v>1559</v>
      </c>
      <c r="B123" s="21" t="s">
        <v>1560</v>
      </c>
      <c r="C123" s="21" t="s">
        <v>1296</v>
      </c>
      <c r="D123" s="21" t="s">
        <v>1297</v>
      </c>
      <c r="E123" s="21" t="s">
        <v>1369</v>
      </c>
      <c r="F123" s="21" t="s">
        <v>1379</v>
      </c>
      <c r="G123" s="21" t="s">
        <v>1299</v>
      </c>
      <c r="H123" s="21" t="s">
        <v>1306</v>
      </c>
      <c r="I123" s="22">
        <f>DATE(2024,2,26)</f>
        <v>45348</v>
      </c>
      <c r="J123" s="22">
        <f>DATE(2024,2,26)</f>
        <v>45348</v>
      </c>
      <c r="K123" s="22">
        <f>DATE(2025,2,20)</f>
        <v>45708</v>
      </c>
      <c r="L123" s="21" t="s">
        <v>1307</v>
      </c>
      <c r="M123" s="21" t="s">
        <v>1302</v>
      </c>
    </row>
    <row r="124" spans="1:13" x14ac:dyDescent="0.25">
      <c r="A124" s="21" t="s">
        <v>1561</v>
      </c>
      <c r="B124" s="21" t="s">
        <v>1562</v>
      </c>
      <c r="C124" s="21" t="s">
        <v>1296</v>
      </c>
      <c r="D124" s="21" t="s">
        <v>1297</v>
      </c>
      <c r="E124" s="21" t="s">
        <v>1369</v>
      </c>
      <c r="F124" s="21" t="s">
        <v>1379</v>
      </c>
      <c r="G124" s="21" t="s">
        <v>1305</v>
      </c>
      <c r="H124" s="21" t="s">
        <v>1316</v>
      </c>
      <c r="I124" s="22">
        <f>DATE(2024,8,23)</f>
        <v>45527</v>
      </c>
      <c r="J124" s="22">
        <f>DATE(2024,8,23)</f>
        <v>45527</v>
      </c>
      <c r="K124" s="22">
        <f>DATE(2029,8,23)</f>
        <v>47353</v>
      </c>
      <c r="L124" s="21" t="s">
        <v>1307</v>
      </c>
      <c r="M124" s="21" t="s">
        <v>1302</v>
      </c>
    </row>
    <row r="125" spans="1:13" x14ac:dyDescent="0.25">
      <c r="A125" s="21" t="s">
        <v>1563</v>
      </c>
      <c r="B125" s="21" t="s">
        <v>1564</v>
      </c>
      <c r="C125" s="21" t="s">
        <v>1296</v>
      </c>
      <c r="D125" s="21" t="s">
        <v>1297</v>
      </c>
      <c r="E125" s="21" t="s">
        <v>1369</v>
      </c>
      <c r="F125" s="21" t="s">
        <v>1379</v>
      </c>
      <c r="G125" s="21" t="s">
        <v>1305</v>
      </c>
      <c r="H125" s="21" t="s">
        <v>1321</v>
      </c>
      <c r="I125" s="22">
        <f>DATE(2024,11,19)</f>
        <v>45615</v>
      </c>
      <c r="J125" s="22">
        <f>DATE(2024,11,19)</f>
        <v>45615</v>
      </c>
      <c r="K125" s="22">
        <f>DATE(1900,1,1)</f>
        <v>1</v>
      </c>
      <c r="L125" s="21" t="s">
        <v>1322</v>
      </c>
      <c r="M125" s="21" t="s">
        <v>1302</v>
      </c>
    </row>
    <row r="126" spans="1:13" x14ac:dyDescent="0.25">
      <c r="A126" s="21" t="s">
        <v>1565</v>
      </c>
      <c r="B126" s="21" t="s">
        <v>1566</v>
      </c>
      <c r="C126" s="21" t="s">
        <v>1296</v>
      </c>
      <c r="D126" s="21" t="s">
        <v>1297</v>
      </c>
      <c r="E126" s="21" t="s">
        <v>1369</v>
      </c>
      <c r="F126" s="21" t="s">
        <v>1379</v>
      </c>
      <c r="G126" s="21" t="s">
        <v>1305</v>
      </c>
      <c r="H126" s="21" t="s">
        <v>1316</v>
      </c>
      <c r="I126" s="22">
        <f>DATE(2024,1,12)</f>
        <v>45303</v>
      </c>
      <c r="J126" s="22">
        <f>DATE(2024,1,12)</f>
        <v>45303</v>
      </c>
      <c r="K126" s="22">
        <f>DATE(2029,1,12)</f>
        <v>47130</v>
      </c>
      <c r="L126" s="21" t="s">
        <v>1307</v>
      </c>
      <c r="M126" s="21" t="s">
        <v>1302</v>
      </c>
    </row>
    <row r="127" spans="1:13" x14ac:dyDescent="0.25">
      <c r="A127" s="21" t="s">
        <v>1567</v>
      </c>
      <c r="B127" s="21" t="s">
        <v>1568</v>
      </c>
      <c r="C127" s="21" t="s">
        <v>1296</v>
      </c>
      <c r="D127" s="21" t="s">
        <v>1297</v>
      </c>
      <c r="E127" s="21" t="s">
        <v>1369</v>
      </c>
      <c r="F127" s="21" t="s">
        <v>1379</v>
      </c>
      <c r="G127" s="21" t="s">
        <v>1299</v>
      </c>
      <c r="H127" s="21" t="s">
        <v>1300</v>
      </c>
      <c r="I127" s="22">
        <f>DATE(2024,7,15)</f>
        <v>45488</v>
      </c>
      <c r="J127" s="22">
        <f>DATE(2024,7,15)</f>
        <v>45488</v>
      </c>
      <c r="K127" s="22">
        <f>DATE(2029,7,15)</f>
        <v>47314</v>
      </c>
      <c r="L127" s="21" t="s">
        <v>1307</v>
      </c>
      <c r="M127" s="21" t="s">
        <v>1302</v>
      </c>
    </row>
    <row r="128" spans="1:13" x14ac:dyDescent="0.25">
      <c r="A128" s="21" t="s">
        <v>1569</v>
      </c>
      <c r="B128" s="21" t="s">
        <v>1570</v>
      </c>
      <c r="C128" s="21" t="s">
        <v>1296</v>
      </c>
      <c r="D128" s="21" t="s">
        <v>1297</v>
      </c>
      <c r="E128" s="21" t="s">
        <v>1369</v>
      </c>
      <c r="F128" s="21" t="s">
        <v>1379</v>
      </c>
      <c r="G128" s="21" t="s">
        <v>1305</v>
      </c>
      <c r="H128" s="21" t="s">
        <v>1300</v>
      </c>
      <c r="I128" s="22">
        <f>DATE(2020,2,10)</f>
        <v>43871</v>
      </c>
      <c r="J128" s="22">
        <f>DATE(2020,2,10)</f>
        <v>43871</v>
      </c>
      <c r="K128" s="22">
        <f>DATE(2025,2,10)</f>
        <v>45698</v>
      </c>
      <c r="L128" s="21" t="s">
        <v>1301</v>
      </c>
      <c r="M128" s="21" t="s">
        <v>1302</v>
      </c>
    </row>
    <row r="129" spans="1:13" x14ac:dyDescent="0.25">
      <c r="A129" s="21" t="s">
        <v>1571</v>
      </c>
      <c r="B129" s="21" t="s">
        <v>1572</v>
      </c>
      <c r="C129" s="21" t="s">
        <v>1296</v>
      </c>
      <c r="D129" s="21" t="s">
        <v>1297</v>
      </c>
      <c r="E129" s="21" t="s">
        <v>1369</v>
      </c>
      <c r="F129" s="21" t="s">
        <v>1379</v>
      </c>
      <c r="G129" s="21" t="s">
        <v>1305</v>
      </c>
      <c r="H129" s="21" t="s">
        <v>1321</v>
      </c>
      <c r="I129" s="22">
        <f>DATE(2024,11,20)</f>
        <v>45616</v>
      </c>
      <c r="J129" s="22">
        <f>DATE(2024,11,20)</f>
        <v>45616</v>
      </c>
      <c r="K129" s="22">
        <f>DATE(1900,1,1)</f>
        <v>1</v>
      </c>
      <c r="L129" s="21" t="s">
        <v>1322</v>
      </c>
      <c r="M129" s="21" t="s">
        <v>1302</v>
      </c>
    </row>
    <row r="130" spans="1:13" x14ac:dyDescent="0.25">
      <c r="A130" s="21" t="s">
        <v>1573</v>
      </c>
      <c r="B130" s="21" t="s">
        <v>1574</v>
      </c>
      <c r="C130" s="21" t="s">
        <v>1296</v>
      </c>
      <c r="D130" s="21" t="s">
        <v>1297</v>
      </c>
      <c r="E130" s="21" t="s">
        <v>1369</v>
      </c>
      <c r="F130" s="21" t="s">
        <v>1379</v>
      </c>
      <c r="G130" s="21" t="s">
        <v>1299</v>
      </c>
      <c r="H130" s="21" t="s">
        <v>1300</v>
      </c>
      <c r="I130" s="22">
        <f>DATE(2019,12,3)</f>
        <v>43802</v>
      </c>
      <c r="J130" s="22">
        <f>DATE(2019,12,3)</f>
        <v>43802</v>
      </c>
      <c r="K130" s="22">
        <f>DATE(2024,12,10)</f>
        <v>45636</v>
      </c>
      <c r="L130" s="21" t="s">
        <v>1301</v>
      </c>
      <c r="M130" s="21" t="s">
        <v>1302</v>
      </c>
    </row>
    <row r="131" spans="1:13" x14ac:dyDescent="0.25">
      <c r="A131" s="21" t="s">
        <v>1575</v>
      </c>
      <c r="B131" s="21" t="s">
        <v>1576</v>
      </c>
      <c r="C131" s="21" t="s">
        <v>1296</v>
      </c>
      <c r="D131" s="21" t="s">
        <v>1297</v>
      </c>
      <c r="E131" s="21" t="s">
        <v>1369</v>
      </c>
      <c r="F131" s="21" t="s">
        <v>1379</v>
      </c>
      <c r="G131" s="21" t="s">
        <v>1305</v>
      </c>
      <c r="H131" s="21" t="s">
        <v>1316</v>
      </c>
      <c r="I131" s="22">
        <f>DATE(2019,12,10)</f>
        <v>43809</v>
      </c>
      <c r="J131" s="22">
        <f>DATE(2019,12,10)</f>
        <v>43809</v>
      </c>
      <c r="K131" s="22">
        <f>DATE(2019,12,10)</f>
        <v>43809</v>
      </c>
      <c r="L131" s="21" t="s">
        <v>1374</v>
      </c>
      <c r="M131" s="21" t="s">
        <v>1302</v>
      </c>
    </row>
    <row r="132" spans="1:13" x14ac:dyDescent="0.25">
      <c r="A132" s="21" t="s">
        <v>1577</v>
      </c>
      <c r="B132" s="21" t="s">
        <v>1578</v>
      </c>
      <c r="C132" s="21" t="s">
        <v>1296</v>
      </c>
      <c r="D132" s="21" t="s">
        <v>1297</v>
      </c>
      <c r="E132" s="21" t="s">
        <v>1369</v>
      </c>
      <c r="F132" s="21" t="s">
        <v>1379</v>
      </c>
      <c r="G132" s="21" t="s">
        <v>1305</v>
      </c>
      <c r="H132" s="21" t="s">
        <v>1300</v>
      </c>
      <c r="I132" s="22">
        <f>DATE(2020,11,26)</f>
        <v>44161</v>
      </c>
      <c r="J132" s="22">
        <f>DATE(2020,11,26)</f>
        <v>44161</v>
      </c>
      <c r="K132" s="22">
        <f>DATE(2025,11,26)</f>
        <v>45987</v>
      </c>
      <c r="L132" s="21" t="s">
        <v>1301</v>
      </c>
      <c r="M132" s="21" t="s">
        <v>1302</v>
      </c>
    </row>
    <row r="133" spans="1:13" x14ac:dyDescent="0.25">
      <c r="A133" s="21" t="s">
        <v>1579</v>
      </c>
      <c r="B133" s="21" t="s">
        <v>1580</v>
      </c>
      <c r="C133" s="21" t="s">
        <v>1296</v>
      </c>
      <c r="D133" s="21" t="s">
        <v>1297</v>
      </c>
      <c r="E133" s="21" t="s">
        <v>1369</v>
      </c>
      <c r="F133" s="21" t="s">
        <v>1379</v>
      </c>
      <c r="G133" s="21" t="s">
        <v>1305</v>
      </c>
      <c r="H133" s="21" t="s">
        <v>1300</v>
      </c>
      <c r="I133" s="22">
        <f>DATE(2024,11,20)</f>
        <v>45616</v>
      </c>
      <c r="J133" s="22">
        <f>DATE(2024,11,20)</f>
        <v>45616</v>
      </c>
      <c r="K133" s="22">
        <f>DATE(2029,11,20)</f>
        <v>47442</v>
      </c>
      <c r="L133" s="21" t="s">
        <v>1307</v>
      </c>
      <c r="M133" s="21" t="s">
        <v>1302</v>
      </c>
    </row>
    <row r="134" spans="1:13" x14ac:dyDescent="0.25">
      <c r="A134" s="21" t="s">
        <v>1581</v>
      </c>
      <c r="B134" s="21" t="s">
        <v>1582</v>
      </c>
      <c r="C134" s="21" t="s">
        <v>1296</v>
      </c>
      <c r="D134" s="21" t="s">
        <v>1297</v>
      </c>
      <c r="E134" s="21" t="s">
        <v>1369</v>
      </c>
      <c r="F134" s="21" t="s">
        <v>1379</v>
      </c>
      <c r="G134" s="21" t="s">
        <v>1299</v>
      </c>
      <c r="H134" s="21" t="s">
        <v>1306</v>
      </c>
      <c r="I134" s="22">
        <f>DATE(2024,4,9)</f>
        <v>45391</v>
      </c>
      <c r="J134" s="22">
        <f>DATE(2024,4,9)</f>
        <v>45391</v>
      </c>
      <c r="K134" s="22">
        <f>DATE(2024,10,1)</f>
        <v>45566</v>
      </c>
      <c r="L134" s="21" t="s">
        <v>1307</v>
      </c>
      <c r="M134" s="21" t="s">
        <v>1302</v>
      </c>
    </row>
    <row r="135" spans="1:13" x14ac:dyDescent="0.25">
      <c r="A135" s="21" t="s">
        <v>1583</v>
      </c>
      <c r="B135" s="21" t="s">
        <v>1584</v>
      </c>
      <c r="C135" s="21" t="s">
        <v>1296</v>
      </c>
      <c r="D135" s="21" t="s">
        <v>1297</v>
      </c>
      <c r="E135" s="21" t="s">
        <v>1369</v>
      </c>
      <c r="F135" s="21" t="s">
        <v>1379</v>
      </c>
      <c r="G135" s="21" t="s">
        <v>1299</v>
      </c>
      <c r="H135" s="21" t="s">
        <v>1300</v>
      </c>
      <c r="I135" s="22">
        <f>DATE(2020,8,20)</f>
        <v>44063</v>
      </c>
      <c r="J135" s="22">
        <f>DATE(2020,8,20)</f>
        <v>44063</v>
      </c>
      <c r="K135" s="22">
        <f>DATE(2025,8,20)</f>
        <v>45889</v>
      </c>
      <c r="L135" s="21" t="s">
        <v>1301</v>
      </c>
      <c r="M135" s="21" t="s">
        <v>1302</v>
      </c>
    </row>
    <row r="136" spans="1:13" x14ac:dyDescent="0.25">
      <c r="A136" s="21" t="s">
        <v>1585</v>
      </c>
      <c r="B136" s="21" t="s">
        <v>1586</v>
      </c>
      <c r="C136" s="21" t="s">
        <v>1296</v>
      </c>
      <c r="D136" s="21" t="s">
        <v>1297</v>
      </c>
      <c r="E136" s="21" t="s">
        <v>1369</v>
      </c>
      <c r="F136" s="21" t="s">
        <v>1379</v>
      </c>
      <c r="G136" s="21" t="s">
        <v>1299</v>
      </c>
      <c r="H136" s="21" t="s">
        <v>1306</v>
      </c>
      <c r="I136" s="22">
        <f>DATE(2024,2,23)</f>
        <v>45345</v>
      </c>
      <c r="J136" s="22">
        <f>DATE(2024,2,23)</f>
        <v>45345</v>
      </c>
      <c r="K136" s="22">
        <f>DATE(2025,1,5)</f>
        <v>45662</v>
      </c>
      <c r="L136" s="21" t="s">
        <v>1307</v>
      </c>
      <c r="M136" s="21" t="s">
        <v>1302</v>
      </c>
    </row>
    <row r="137" spans="1:13" x14ac:dyDescent="0.25">
      <c r="A137" s="21" t="s">
        <v>1587</v>
      </c>
      <c r="B137" s="21" t="s">
        <v>1588</v>
      </c>
      <c r="C137" s="21" t="s">
        <v>1296</v>
      </c>
      <c r="D137" s="21" t="s">
        <v>1297</v>
      </c>
      <c r="E137" s="21" t="s">
        <v>1369</v>
      </c>
      <c r="F137" s="21" t="s">
        <v>1379</v>
      </c>
      <c r="G137" s="21" t="s">
        <v>1305</v>
      </c>
      <c r="H137" s="21" t="s">
        <v>1316</v>
      </c>
      <c r="I137" s="22">
        <f>DATE(2024,8,29)</f>
        <v>45533</v>
      </c>
      <c r="J137" s="22">
        <f>DATE(2024,8,29)</f>
        <v>45533</v>
      </c>
      <c r="K137" s="22">
        <f>DATE(2029,8,29)</f>
        <v>47359</v>
      </c>
      <c r="L137" s="21" t="s">
        <v>1307</v>
      </c>
      <c r="M137" s="21" t="s">
        <v>1302</v>
      </c>
    </row>
    <row r="138" spans="1:13" x14ac:dyDescent="0.25">
      <c r="A138" s="21" t="s">
        <v>1589</v>
      </c>
      <c r="B138" s="21" t="s">
        <v>1590</v>
      </c>
      <c r="C138" s="21" t="s">
        <v>1296</v>
      </c>
      <c r="D138" s="21" t="s">
        <v>1297</v>
      </c>
      <c r="E138" s="21" t="s">
        <v>1369</v>
      </c>
      <c r="F138" s="21" t="s">
        <v>1379</v>
      </c>
      <c r="G138" s="21" t="s">
        <v>1299</v>
      </c>
      <c r="H138" s="21" t="s">
        <v>1300</v>
      </c>
      <c r="I138" s="22">
        <f>DATE(2020,8,20)</f>
        <v>44063</v>
      </c>
      <c r="J138" s="22">
        <f>DATE(2020,8,20)</f>
        <v>44063</v>
      </c>
      <c r="K138" s="22">
        <f>DATE(2025,8,20)</f>
        <v>45889</v>
      </c>
      <c r="L138" s="21" t="s">
        <v>1301</v>
      </c>
      <c r="M138" s="21" t="s">
        <v>1302</v>
      </c>
    </row>
    <row r="139" spans="1:13" x14ac:dyDescent="0.25">
      <c r="A139" s="21" t="s">
        <v>1591</v>
      </c>
      <c r="B139" s="21" t="s">
        <v>1592</v>
      </c>
      <c r="C139" s="21" t="s">
        <v>1296</v>
      </c>
      <c r="D139" s="21" t="s">
        <v>1297</v>
      </c>
      <c r="E139" s="21" t="s">
        <v>1369</v>
      </c>
      <c r="F139" s="21" t="s">
        <v>1379</v>
      </c>
      <c r="G139" s="21" t="s">
        <v>1299</v>
      </c>
      <c r="H139" s="21" t="s">
        <v>1386</v>
      </c>
      <c r="I139" s="22">
        <f>DATE(2020,8,21)</f>
        <v>44064</v>
      </c>
      <c r="J139" s="22">
        <f>DATE(2020,8,21)</f>
        <v>44064</v>
      </c>
      <c r="K139" s="22">
        <f>DATE(2025,8,21)</f>
        <v>45890</v>
      </c>
      <c r="L139" s="21" t="s">
        <v>1301</v>
      </c>
      <c r="M139" s="21" t="s">
        <v>1302</v>
      </c>
    </row>
    <row r="140" spans="1:13" x14ac:dyDescent="0.25">
      <c r="A140" s="21" t="s">
        <v>1593</v>
      </c>
      <c r="B140" s="21" t="s">
        <v>1594</v>
      </c>
      <c r="C140" s="21" t="s">
        <v>1296</v>
      </c>
      <c r="D140" s="21" t="s">
        <v>1297</v>
      </c>
      <c r="E140" s="21" t="s">
        <v>1369</v>
      </c>
      <c r="F140" s="21" t="s">
        <v>1379</v>
      </c>
      <c r="G140" s="21" t="s">
        <v>1299</v>
      </c>
      <c r="H140" s="21" t="s">
        <v>1386</v>
      </c>
      <c r="I140" s="22">
        <f>DATE(2024,3,13)</f>
        <v>45364</v>
      </c>
      <c r="J140" s="22">
        <f>DATE(2024,3,13)</f>
        <v>45364</v>
      </c>
      <c r="K140" s="22">
        <f>DATE(2029,3,13)</f>
        <v>47190</v>
      </c>
      <c r="L140" s="21" t="s">
        <v>1307</v>
      </c>
      <c r="M140" s="21" t="s">
        <v>1302</v>
      </c>
    </row>
    <row r="141" spans="1:13" x14ac:dyDescent="0.25">
      <c r="A141" s="21" t="s">
        <v>1595</v>
      </c>
      <c r="B141" s="21" t="s">
        <v>1596</v>
      </c>
      <c r="C141" s="21" t="s">
        <v>1296</v>
      </c>
      <c r="D141" s="21" t="s">
        <v>1297</v>
      </c>
      <c r="E141" s="21" t="s">
        <v>1369</v>
      </c>
      <c r="F141" s="21" t="s">
        <v>1379</v>
      </c>
      <c r="G141" s="21" t="s">
        <v>1299</v>
      </c>
      <c r="H141" s="21" t="s">
        <v>1297</v>
      </c>
      <c r="I141" s="22">
        <f>DATE(1900,1,1)</f>
        <v>1</v>
      </c>
      <c r="J141" s="22">
        <f>DATE(1900,1,1)</f>
        <v>1</v>
      </c>
      <c r="K141" s="22">
        <f>DATE(1900,1,1)</f>
        <v>1</v>
      </c>
      <c r="L141" s="21" t="s">
        <v>1297</v>
      </c>
      <c r="M141" s="21" t="s">
        <v>1302</v>
      </c>
    </row>
    <row r="142" spans="1:13" x14ac:dyDescent="0.25">
      <c r="A142" s="21" t="s">
        <v>1597</v>
      </c>
      <c r="B142" s="21" t="s">
        <v>1598</v>
      </c>
      <c r="C142" s="21" t="s">
        <v>1296</v>
      </c>
      <c r="D142" s="21" t="s">
        <v>1297</v>
      </c>
      <c r="E142" s="21" t="s">
        <v>1369</v>
      </c>
      <c r="F142" s="21" t="s">
        <v>1379</v>
      </c>
      <c r="G142" s="21" t="s">
        <v>1299</v>
      </c>
      <c r="H142" s="21" t="s">
        <v>1306</v>
      </c>
      <c r="I142" s="22">
        <f>DATE(2024,3,18)</f>
        <v>45369</v>
      </c>
      <c r="J142" s="22">
        <f>DATE(2024,3,18)</f>
        <v>45369</v>
      </c>
      <c r="K142" s="22">
        <f>DATE(2025,2,21)</f>
        <v>45709</v>
      </c>
      <c r="L142" s="21" t="s">
        <v>1307</v>
      </c>
      <c r="M142" s="21" t="s">
        <v>1302</v>
      </c>
    </row>
    <row r="143" spans="1:13" x14ac:dyDescent="0.25">
      <c r="A143" s="21" t="s">
        <v>1599</v>
      </c>
      <c r="B143" s="21" t="s">
        <v>1600</v>
      </c>
      <c r="C143" s="21" t="s">
        <v>1296</v>
      </c>
      <c r="D143" s="21" t="s">
        <v>1297</v>
      </c>
      <c r="E143" s="21" t="s">
        <v>1369</v>
      </c>
      <c r="F143" s="21" t="s">
        <v>1379</v>
      </c>
      <c r="G143" s="21" t="s">
        <v>1299</v>
      </c>
      <c r="H143" s="21" t="s">
        <v>1306</v>
      </c>
      <c r="I143" s="22">
        <f>DATE(2024,5,30)</f>
        <v>45442</v>
      </c>
      <c r="J143" s="22">
        <f>DATE(2024,5,30)</f>
        <v>45442</v>
      </c>
      <c r="K143" s="22">
        <f>DATE(2025,2,12)</f>
        <v>45700</v>
      </c>
      <c r="L143" s="21" t="s">
        <v>1307</v>
      </c>
      <c r="M143" s="21" t="s">
        <v>1302</v>
      </c>
    </row>
    <row r="144" spans="1:13" x14ac:dyDescent="0.25">
      <c r="A144" s="21" t="s">
        <v>1601</v>
      </c>
      <c r="B144" s="21" t="s">
        <v>1602</v>
      </c>
      <c r="C144" s="21" t="s">
        <v>1296</v>
      </c>
      <c r="D144" s="21" t="s">
        <v>1297</v>
      </c>
      <c r="E144" s="21" t="s">
        <v>1369</v>
      </c>
      <c r="F144" s="21" t="s">
        <v>1379</v>
      </c>
      <c r="G144" s="21" t="s">
        <v>1299</v>
      </c>
      <c r="H144" s="21" t="s">
        <v>1297</v>
      </c>
      <c r="I144" s="22">
        <f>DATE(1900,1,1)</f>
        <v>1</v>
      </c>
      <c r="J144" s="22">
        <f>DATE(1900,1,1)</f>
        <v>1</v>
      </c>
      <c r="K144" s="22">
        <f>DATE(1900,1,1)</f>
        <v>1</v>
      </c>
      <c r="L144" s="21" t="s">
        <v>1297</v>
      </c>
      <c r="M144" s="21" t="s">
        <v>1302</v>
      </c>
    </row>
    <row r="145" spans="1:13" x14ac:dyDescent="0.25">
      <c r="A145" s="21" t="s">
        <v>1603</v>
      </c>
      <c r="B145" s="21" t="s">
        <v>1604</v>
      </c>
      <c r="C145" s="21" t="s">
        <v>1296</v>
      </c>
      <c r="D145" s="21" t="s">
        <v>1297</v>
      </c>
      <c r="E145" s="21" t="s">
        <v>1369</v>
      </c>
      <c r="F145" s="21" t="s">
        <v>1379</v>
      </c>
      <c r="G145" s="21" t="s">
        <v>1299</v>
      </c>
      <c r="H145" s="21" t="s">
        <v>1300</v>
      </c>
      <c r="I145" s="22">
        <f>DATE(2020,8,31)</f>
        <v>44074</v>
      </c>
      <c r="J145" s="22">
        <f>DATE(2020,8,31)</f>
        <v>44074</v>
      </c>
      <c r="K145" s="22">
        <f>DATE(2025,8,31)</f>
        <v>45900</v>
      </c>
      <c r="L145" s="21" t="s">
        <v>1301</v>
      </c>
      <c r="M145" s="21" t="s">
        <v>1302</v>
      </c>
    </row>
    <row r="146" spans="1:13" x14ac:dyDescent="0.25">
      <c r="A146" s="21" t="s">
        <v>1605</v>
      </c>
      <c r="B146" s="21" t="s">
        <v>1606</v>
      </c>
      <c r="C146" s="21" t="s">
        <v>1296</v>
      </c>
      <c r="D146" s="21" t="s">
        <v>1297</v>
      </c>
      <c r="E146" s="21" t="s">
        <v>1369</v>
      </c>
      <c r="F146" s="21" t="s">
        <v>1379</v>
      </c>
      <c r="G146" s="21" t="s">
        <v>1305</v>
      </c>
      <c r="H146" s="21" t="s">
        <v>1306</v>
      </c>
      <c r="I146" s="22">
        <f>DATE(2024,4,2)</f>
        <v>45384</v>
      </c>
      <c r="J146" s="22">
        <f>DATE(2024,4,2)</f>
        <v>45384</v>
      </c>
      <c r="K146" s="22">
        <f>DATE(2025,4,1)</f>
        <v>45748</v>
      </c>
      <c r="L146" s="21" t="s">
        <v>1307</v>
      </c>
      <c r="M146" s="21" t="s">
        <v>1302</v>
      </c>
    </row>
    <row r="147" spans="1:13" x14ac:dyDescent="0.25">
      <c r="A147" s="21" t="s">
        <v>1607</v>
      </c>
      <c r="B147" s="21" t="s">
        <v>1608</v>
      </c>
      <c r="C147" s="21" t="s">
        <v>1296</v>
      </c>
      <c r="D147" s="21" t="s">
        <v>1297</v>
      </c>
      <c r="E147" s="21" t="s">
        <v>1369</v>
      </c>
      <c r="F147" s="21" t="s">
        <v>1379</v>
      </c>
      <c r="G147" s="21" t="s">
        <v>1299</v>
      </c>
      <c r="H147" s="21" t="s">
        <v>1321</v>
      </c>
      <c r="I147" s="22">
        <f>DATE(2024,8,28)</f>
        <v>45532</v>
      </c>
      <c r="J147" s="22">
        <f>DATE(2024,8,21)</f>
        <v>45525</v>
      </c>
      <c r="K147" s="22">
        <f>DATE(1900,1,1)</f>
        <v>1</v>
      </c>
      <c r="L147" s="21" t="s">
        <v>1322</v>
      </c>
      <c r="M147" s="21" t="s">
        <v>1302</v>
      </c>
    </row>
    <row r="148" spans="1:13" x14ac:dyDescent="0.25">
      <c r="A148" s="21" t="s">
        <v>1609</v>
      </c>
      <c r="B148" s="21" t="s">
        <v>1610</v>
      </c>
      <c r="C148" s="21" t="s">
        <v>1359</v>
      </c>
      <c r="D148" s="21" t="s">
        <v>1297</v>
      </c>
      <c r="E148" s="21" t="s">
        <v>1369</v>
      </c>
      <c r="F148" s="21" t="s">
        <v>1379</v>
      </c>
      <c r="G148" s="21" t="s">
        <v>1299</v>
      </c>
      <c r="H148" s="21" t="s">
        <v>1300</v>
      </c>
      <c r="I148" s="22">
        <f>DATE(2020,8,31)</f>
        <v>44074</v>
      </c>
      <c r="J148" s="22">
        <f>DATE(2020,8,31)</f>
        <v>44074</v>
      </c>
      <c r="K148" s="22">
        <f>DATE(2025,8,31)</f>
        <v>45900</v>
      </c>
      <c r="L148" s="21" t="s">
        <v>1301</v>
      </c>
      <c r="M148" s="21" t="s">
        <v>1360</v>
      </c>
    </row>
    <row r="149" spans="1:13" x14ac:dyDescent="0.25">
      <c r="A149" s="21" t="s">
        <v>1611</v>
      </c>
      <c r="B149" s="21" t="s">
        <v>1612</v>
      </c>
      <c r="C149" s="21" t="s">
        <v>1296</v>
      </c>
      <c r="D149" s="21" t="s">
        <v>1297</v>
      </c>
      <c r="E149" s="21" t="s">
        <v>1613</v>
      </c>
      <c r="F149" s="21" t="s">
        <v>1369</v>
      </c>
      <c r="G149" s="21" t="s">
        <v>1299</v>
      </c>
      <c r="H149" s="21" t="s">
        <v>1316</v>
      </c>
      <c r="I149" s="22">
        <f>DATE(2023,12,27)</f>
        <v>45287</v>
      </c>
      <c r="J149" s="22">
        <f>DATE(2023,12,27)</f>
        <v>45287</v>
      </c>
      <c r="K149" s="22">
        <f>DATE(2028,12,27)</f>
        <v>47114</v>
      </c>
      <c r="L149" s="21" t="s">
        <v>1307</v>
      </c>
      <c r="M149" s="21" t="s">
        <v>1302</v>
      </c>
    </row>
    <row r="150" spans="1:13" x14ac:dyDescent="0.25">
      <c r="A150" s="21" t="s">
        <v>1614</v>
      </c>
      <c r="B150" s="21" t="s">
        <v>1615</v>
      </c>
      <c r="C150" s="21" t="s">
        <v>1296</v>
      </c>
      <c r="D150" s="21" t="s">
        <v>1297</v>
      </c>
      <c r="E150" s="21" t="s">
        <v>1613</v>
      </c>
      <c r="F150" s="21" t="s">
        <v>1379</v>
      </c>
      <c r="G150" s="21" t="s">
        <v>1299</v>
      </c>
      <c r="H150" s="21" t="s">
        <v>1300</v>
      </c>
      <c r="I150" s="22">
        <f>DATE(2023,10,23)</f>
        <v>45222</v>
      </c>
      <c r="J150" s="22">
        <f>DATE(2023,10,23)</f>
        <v>45222</v>
      </c>
      <c r="K150" s="22">
        <f>DATE(2028,10,23)</f>
        <v>47049</v>
      </c>
      <c r="L150" s="21" t="s">
        <v>1307</v>
      </c>
      <c r="M150" s="21" t="s">
        <v>1302</v>
      </c>
    </row>
    <row r="151" spans="1:13" x14ac:dyDescent="0.25">
      <c r="A151" s="21" t="s">
        <v>1616</v>
      </c>
      <c r="B151" s="21" t="s">
        <v>1617</v>
      </c>
      <c r="C151" s="21" t="s">
        <v>1296</v>
      </c>
      <c r="D151" s="21" t="s">
        <v>1297</v>
      </c>
      <c r="E151" s="21" t="s">
        <v>1613</v>
      </c>
      <c r="F151" s="21" t="s">
        <v>1379</v>
      </c>
      <c r="G151" s="21" t="s">
        <v>1299</v>
      </c>
      <c r="H151" s="21" t="s">
        <v>1386</v>
      </c>
      <c r="I151" s="22">
        <f>DATE(2021,2,19)</f>
        <v>44246</v>
      </c>
      <c r="J151" s="22">
        <f>DATE(2021,2,19)</f>
        <v>44246</v>
      </c>
      <c r="K151" s="22">
        <f>DATE(2026,2,19)</f>
        <v>46072</v>
      </c>
      <c r="L151" s="21" t="s">
        <v>1301</v>
      </c>
      <c r="M151" s="21" t="s">
        <v>1302</v>
      </c>
    </row>
    <row r="152" spans="1:13" x14ac:dyDescent="0.25">
      <c r="A152" s="21" t="s">
        <v>1618</v>
      </c>
      <c r="B152" s="21" t="s">
        <v>1619</v>
      </c>
      <c r="C152" s="21" t="s">
        <v>1296</v>
      </c>
      <c r="D152" s="21" t="s">
        <v>1297</v>
      </c>
      <c r="E152" s="21" t="s">
        <v>1613</v>
      </c>
      <c r="F152" s="21" t="s">
        <v>1379</v>
      </c>
      <c r="G152" s="21" t="s">
        <v>1299</v>
      </c>
      <c r="H152" s="21" t="s">
        <v>1386</v>
      </c>
      <c r="I152" s="22">
        <f>DATE(2024,8,1)</f>
        <v>45505</v>
      </c>
      <c r="J152" s="22">
        <f>DATE(2024,8,1)</f>
        <v>45505</v>
      </c>
      <c r="K152" s="22">
        <f>DATE(2029,8,1)</f>
        <v>47331</v>
      </c>
      <c r="L152" s="21" t="s">
        <v>1307</v>
      </c>
      <c r="M152" s="21" t="s">
        <v>1302</v>
      </c>
    </row>
    <row r="153" spans="1:13" x14ac:dyDescent="0.25">
      <c r="A153" s="21" t="s">
        <v>1620</v>
      </c>
      <c r="B153" s="21" t="s">
        <v>1621</v>
      </c>
      <c r="C153" s="21" t="s">
        <v>1296</v>
      </c>
      <c r="D153" s="21" t="s">
        <v>1297</v>
      </c>
      <c r="E153" s="21" t="s">
        <v>1622</v>
      </c>
      <c r="F153" s="21" t="s">
        <v>1379</v>
      </c>
      <c r="G153" s="21" t="s">
        <v>1305</v>
      </c>
      <c r="H153" s="21" t="s">
        <v>1386</v>
      </c>
      <c r="I153" s="22">
        <f>DATE(2023,1,6)</f>
        <v>44932</v>
      </c>
      <c r="J153" s="22">
        <f>DATE(2023,1,6)</f>
        <v>44932</v>
      </c>
      <c r="K153" s="22">
        <f>DATE(1900,1,1)</f>
        <v>1</v>
      </c>
      <c r="L153" s="21" t="s">
        <v>1307</v>
      </c>
      <c r="M153" s="21" t="s">
        <v>1302</v>
      </c>
    </row>
    <row r="154" spans="1:13" x14ac:dyDescent="0.25">
      <c r="A154" s="21" t="s">
        <v>1623</v>
      </c>
      <c r="B154" s="21" t="s">
        <v>1624</v>
      </c>
      <c r="C154" s="21" t="s">
        <v>1296</v>
      </c>
      <c r="D154" s="21" t="s">
        <v>1297</v>
      </c>
      <c r="E154" s="21" t="s">
        <v>1558</v>
      </c>
      <c r="F154" s="21" t="s">
        <v>1369</v>
      </c>
      <c r="G154" s="21" t="s">
        <v>1299</v>
      </c>
      <c r="H154" s="21" t="s">
        <v>1306</v>
      </c>
      <c r="I154" s="22">
        <f>DATE(2024,1,11)</f>
        <v>45302</v>
      </c>
      <c r="J154" s="22">
        <f>DATE(2024,1,11)</f>
        <v>45302</v>
      </c>
      <c r="K154" s="22">
        <f>DATE(2024,8,1)</f>
        <v>45505</v>
      </c>
      <c r="L154" s="21" t="s">
        <v>1307</v>
      </c>
      <c r="M154" s="21" t="s">
        <v>1302</v>
      </c>
    </row>
    <row r="155" spans="1:13" x14ac:dyDescent="0.25">
      <c r="A155" s="21" t="s">
        <v>1625</v>
      </c>
      <c r="B155" s="21" t="s">
        <v>1626</v>
      </c>
      <c r="C155" s="21" t="s">
        <v>1296</v>
      </c>
      <c r="D155" s="21" t="s">
        <v>1297</v>
      </c>
      <c r="E155" s="21" t="s">
        <v>1558</v>
      </c>
      <c r="F155" s="21" t="s">
        <v>1379</v>
      </c>
      <c r="G155" s="21" t="s">
        <v>1299</v>
      </c>
      <c r="H155" s="21" t="s">
        <v>1316</v>
      </c>
      <c r="I155" s="22">
        <f>DATE(2024,1,26)</f>
        <v>45317</v>
      </c>
      <c r="J155" s="22">
        <f>DATE(2024,1,26)</f>
        <v>45317</v>
      </c>
      <c r="K155" s="22">
        <f>DATE(2029,1,31)</f>
        <v>47149</v>
      </c>
      <c r="L155" s="21" t="s">
        <v>1307</v>
      </c>
      <c r="M155" s="21" t="s">
        <v>1302</v>
      </c>
    </row>
    <row r="156" spans="1:13" x14ac:dyDescent="0.25">
      <c r="A156" s="21" t="s">
        <v>1627</v>
      </c>
      <c r="B156" s="21" t="s">
        <v>1628</v>
      </c>
      <c r="C156" s="21" t="s">
        <v>1359</v>
      </c>
      <c r="D156" s="21" t="s">
        <v>1297</v>
      </c>
      <c r="E156" s="21" t="s">
        <v>1558</v>
      </c>
      <c r="F156" s="21" t="s">
        <v>1379</v>
      </c>
      <c r="G156" s="21" t="s">
        <v>1364</v>
      </c>
      <c r="H156" s="21" t="s">
        <v>1297</v>
      </c>
      <c r="I156" s="22">
        <f>DATE(1900,1,1)</f>
        <v>1</v>
      </c>
      <c r="J156" s="22">
        <f>DATE(1900,1,1)</f>
        <v>1</v>
      </c>
      <c r="K156" s="22">
        <f>DATE(1900,1,1)</f>
        <v>1</v>
      </c>
      <c r="L156" s="21" t="s">
        <v>1297</v>
      </c>
      <c r="M156" s="21" t="s">
        <v>1302</v>
      </c>
    </row>
    <row r="157" spans="1:13" x14ac:dyDescent="0.25">
      <c r="A157" s="21" t="s">
        <v>1629</v>
      </c>
      <c r="B157" s="21" t="s">
        <v>1630</v>
      </c>
      <c r="C157" s="21" t="s">
        <v>1296</v>
      </c>
      <c r="D157" s="21" t="s">
        <v>1297</v>
      </c>
      <c r="E157" s="21" t="s">
        <v>1558</v>
      </c>
      <c r="F157" s="21" t="s">
        <v>1379</v>
      </c>
      <c r="G157" s="21" t="s">
        <v>1299</v>
      </c>
      <c r="H157" s="21" t="s">
        <v>1316</v>
      </c>
      <c r="I157" s="22">
        <f>DATE(2023,1,27)</f>
        <v>44953</v>
      </c>
      <c r="J157" s="22">
        <f>DATE(2022,7,15)</f>
        <v>44757</v>
      </c>
      <c r="K157" s="22">
        <f>DATE(2027,7,15)</f>
        <v>46583</v>
      </c>
      <c r="L157" s="21" t="s">
        <v>1301</v>
      </c>
      <c r="M157" s="21" t="s">
        <v>1302</v>
      </c>
    </row>
    <row r="158" spans="1:13" x14ac:dyDescent="0.25">
      <c r="A158" s="21" t="s">
        <v>1631</v>
      </c>
      <c r="B158" s="21" t="s">
        <v>1632</v>
      </c>
      <c r="C158" s="21" t="s">
        <v>1296</v>
      </c>
      <c r="D158" s="21" t="s">
        <v>1297</v>
      </c>
      <c r="E158" s="21" t="s">
        <v>1558</v>
      </c>
      <c r="F158" s="21" t="s">
        <v>1379</v>
      </c>
      <c r="G158" s="21" t="s">
        <v>1299</v>
      </c>
      <c r="H158" s="21" t="s">
        <v>1306</v>
      </c>
      <c r="I158" s="22">
        <f>DATE(2023,11,1)</f>
        <v>45231</v>
      </c>
      <c r="J158" s="22">
        <f>DATE(2023,11,1)</f>
        <v>45231</v>
      </c>
      <c r="K158" s="22">
        <f>DATE(2024,12,1)</f>
        <v>45627</v>
      </c>
      <c r="L158" s="21" t="s">
        <v>1307</v>
      </c>
      <c r="M158" s="21" t="s">
        <v>1302</v>
      </c>
    </row>
    <row r="159" spans="1:13" x14ac:dyDescent="0.25">
      <c r="A159" s="21" t="s">
        <v>1633</v>
      </c>
      <c r="B159" s="21" t="s">
        <v>1634</v>
      </c>
      <c r="C159" s="21" t="s">
        <v>1296</v>
      </c>
      <c r="D159" s="21" t="s">
        <v>1297</v>
      </c>
      <c r="E159" s="21" t="s">
        <v>1558</v>
      </c>
      <c r="F159" s="21" t="s">
        <v>1379</v>
      </c>
      <c r="G159" s="21" t="s">
        <v>1299</v>
      </c>
      <c r="H159" s="21" t="s">
        <v>1316</v>
      </c>
      <c r="I159" s="22">
        <f>DATE(2020,8,20)</f>
        <v>44063</v>
      </c>
      <c r="J159" s="22">
        <f>DATE(2020,8,20)</f>
        <v>44063</v>
      </c>
      <c r="K159" s="22">
        <f>DATE(2025,8,20)</f>
        <v>45889</v>
      </c>
      <c r="L159" s="21" t="s">
        <v>1301</v>
      </c>
      <c r="M159" s="21" t="s">
        <v>1302</v>
      </c>
    </row>
    <row r="160" spans="1:13" x14ac:dyDescent="0.25">
      <c r="A160" s="21" t="s">
        <v>1635</v>
      </c>
      <c r="B160" s="21" t="s">
        <v>1636</v>
      </c>
      <c r="C160" s="21" t="s">
        <v>1296</v>
      </c>
      <c r="D160" s="21" t="s">
        <v>1297</v>
      </c>
      <c r="E160" s="21" t="s">
        <v>1558</v>
      </c>
      <c r="F160" s="21" t="s">
        <v>1379</v>
      </c>
      <c r="G160" s="21" t="s">
        <v>1299</v>
      </c>
      <c r="H160" s="21" t="s">
        <v>1300</v>
      </c>
      <c r="I160" s="22">
        <f>DATE(2024,2,7)</f>
        <v>45329</v>
      </c>
      <c r="J160" s="22">
        <f>DATE(2024,2,7)</f>
        <v>45329</v>
      </c>
      <c r="K160" s="22">
        <f>DATE(2029,2,7)</f>
        <v>47156</v>
      </c>
      <c r="L160" s="21" t="s">
        <v>1307</v>
      </c>
      <c r="M160" s="21" t="s">
        <v>1302</v>
      </c>
    </row>
    <row r="161" spans="1:13" x14ac:dyDescent="0.25">
      <c r="A161" s="21" t="s">
        <v>1637</v>
      </c>
      <c r="B161" s="21" t="s">
        <v>1638</v>
      </c>
      <c r="C161" s="21" t="s">
        <v>1359</v>
      </c>
      <c r="D161" s="21" t="s">
        <v>1297</v>
      </c>
      <c r="E161" s="21" t="s">
        <v>1558</v>
      </c>
      <c r="F161" s="21" t="s">
        <v>1379</v>
      </c>
      <c r="G161" s="21" t="s">
        <v>1299</v>
      </c>
      <c r="H161" s="21" t="s">
        <v>1316</v>
      </c>
      <c r="I161" s="22">
        <f>DATE(2021,10,13)</f>
        <v>44482</v>
      </c>
      <c r="J161" s="22">
        <f>DATE(2021,10,13)</f>
        <v>44482</v>
      </c>
      <c r="K161" s="22">
        <f>DATE(2026,10,13)</f>
        <v>46308</v>
      </c>
      <c r="L161" s="21" t="s">
        <v>1301</v>
      </c>
      <c r="M161" s="21" t="s">
        <v>1302</v>
      </c>
    </row>
    <row r="162" spans="1:13" x14ac:dyDescent="0.25">
      <c r="A162" s="21" t="s">
        <v>1639</v>
      </c>
      <c r="B162" s="21" t="s">
        <v>1640</v>
      </c>
      <c r="C162" s="21" t="s">
        <v>1296</v>
      </c>
      <c r="D162" s="21" t="s">
        <v>1297</v>
      </c>
      <c r="E162" s="21" t="s">
        <v>1379</v>
      </c>
      <c r="F162" s="21" t="s">
        <v>1297</v>
      </c>
      <c r="G162" s="21" t="s">
        <v>1299</v>
      </c>
      <c r="H162" s="21" t="s">
        <v>1300</v>
      </c>
      <c r="I162" s="22">
        <f>DATE(2022,10,18)</f>
        <v>44852</v>
      </c>
      <c r="J162" s="22">
        <f>DATE(2022,10,18)</f>
        <v>44852</v>
      </c>
      <c r="K162" s="22">
        <f>DATE(2027,10,18)</f>
        <v>46678</v>
      </c>
      <c r="L162" s="21" t="s">
        <v>1307</v>
      </c>
      <c r="M162" s="21" t="s">
        <v>1302</v>
      </c>
    </row>
    <row r="163" spans="1:13" x14ac:dyDescent="0.25">
      <c r="A163" s="21" t="s">
        <v>1641</v>
      </c>
      <c r="B163" s="21" t="s">
        <v>1642</v>
      </c>
      <c r="C163" s="21" t="s">
        <v>1296</v>
      </c>
      <c r="D163" s="21" t="s">
        <v>1297</v>
      </c>
      <c r="E163" s="21" t="s">
        <v>1379</v>
      </c>
      <c r="F163" s="21" t="s">
        <v>1297</v>
      </c>
      <c r="G163" s="21" t="s">
        <v>1299</v>
      </c>
      <c r="H163" s="21" t="s">
        <v>1316</v>
      </c>
      <c r="I163" s="22">
        <f>DATE(2024,9,19)</f>
        <v>45554</v>
      </c>
      <c r="J163" s="22">
        <f>DATE(2024,9,19)</f>
        <v>45554</v>
      </c>
      <c r="K163" s="22">
        <f>DATE(2029,9,12)</f>
        <v>47373</v>
      </c>
      <c r="L163" s="21" t="s">
        <v>1307</v>
      </c>
      <c r="M163" s="21" t="s">
        <v>1302</v>
      </c>
    </row>
    <row r="164" spans="1:13" x14ac:dyDescent="0.25">
      <c r="A164" s="21" t="s">
        <v>1643</v>
      </c>
      <c r="B164" s="21" t="s">
        <v>1644</v>
      </c>
      <c r="C164" s="21" t="s">
        <v>1296</v>
      </c>
      <c r="D164" s="21" t="s">
        <v>1297</v>
      </c>
      <c r="E164" s="21" t="s">
        <v>1379</v>
      </c>
      <c r="F164" s="21" t="s">
        <v>1297</v>
      </c>
      <c r="G164" s="21" t="s">
        <v>1305</v>
      </c>
      <c r="H164" s="21" t="s">
        <v>1300</v>
      </c>
      <c r="I164" s="22">
        <f>DATE(2019,12,16)</f>
        <v>43815</v>
      </c>
      <c r="J164" s="22">
        <f>DATE(2019,12,16)</f>
        <v>43815</v>
      </c>
      <c r="K164" s="22">
        <f>DATE(2024,12,16)</f>
        <v>45642</v>
      </c>
      <c r="L164" s="21" t="s">
        <v>1301</v>
      </c>
      <c r="M164" s="21" t="s">
        <v>1302</v>
      </c>
    </row>
    <row r="165" spans="1:13" x14ac:dyDescent="0.25">
      <c r="A165" s="21" t="s">
        <v>1645</v>
      </c>
      <c r="B165" s="21" t="s">
        <v>1646</v>
      </c>
      <c r="C165" s="21" t="s">
        <v>1296</v>
      </c>
      <c r="D165" s="21" t="s">
        <v>1297</v>
      </c>
      <c r="E165" s="21" t="s">
        <v>1379</v>
      </c>
      <c r="F165" s="21" t="s">
        <v>1297</v>
      </c>
      <c r="G165" s="21" t="s">
        <v>1299</v>
      </c>
      <c r="H165" s="21" t="s">
        <v>1316</v>
      </c>
      <c r="I165" s="22">
        <f>DATE(2024,3,7)</f>
        <v>45358</v>
      </c>
      <c r="J165" s="22">
        <f>DATE(2024,3,7)</f>
        <v>45358</v>
      </c>
      <c r="K165" s="22">
        <f>DATE(2029,3,7)</f>
        <v>47184</v>
      </c>
      <c r="L165" s="21" t="s">
        <v>1307</v>
      </c>
      <c r="M165" s="21" t="s">
        <v>1302</v>
      </c>
    </row>
    <row r="166" spans="1:13" x14ac:dyDescent="0.25">
      <c r="A166" s="21" t="s">
        <v>1647</v>
      </c>
      <c r="B166" s="21" t="s">
        <v>1648</v>
      </c>
      <c r="C166" s="21" t="s">
        <v>1296</v>
      </c>
      <c r="D166" s="21" t="s">
        <v>1297</v>
      </c>
      <c r="E166" s="21" t="s">
        <v>1379</v>
      </c>
      <c r="F166" s="21" t="s">
        <v>1297</v>
      </c>
      <c r="G166" s="21" t="s">
        <v>1299</v>
      </c>
      <c r="H166" s="21" t="s">
        <v>1306</v>
      </c>
      <c r="I166" s="22">
        <f>DATE(2023,12,12)</f>
        <v>45272</v>
      </c>
      <c r="J166" s="22">
        <f>DATE(2023,12,12)</f>
        <v>45272</v>
      </c>
      <c r="K166" s="22">
        <f>DATE(2025,1,1)</f>
        <v>45658</v>
      </c>
      <c r="L166" s="21" t="s">
        <v>1307</v>
      </c>
      <c r="M166" s="21" t="s">
        <v>1302</v>
      </c>
    </row>
    <row r="167" spans="1:13" x14ac:dyDescent="0.25">
      <c r="A167" s="21" t="s">
        <v>1649</v>
      </c>
      <c r="B167" s="21" t="s">
        <v>1650</v>
      </c>
      <c r="C167" s="21" t="s">
        <v>1296</v>
      </c>
      <c r="D167" s="21" t="s">
        <v>1297</v>
      </c>
      <c r="E167" s="21" t="s">
        <v>1379</v>
      </c>
      <c r="F167" s="21" t="s">
        <v>1297</v>
      </c>
      <c r="G167" s="21" t="s">
        <v>1305</v>
      </c>
      <c r="H167" s="21" t="s">
        <v>1300</v>
      </c>
      <c r="I167" s="22">
        <f>DATE(2023,8,31)</f>
        <v>45169</v>
      </c>
      <c r="J167" s="22">
        <f>DATE(2023,8,31)</f>
        <v>45169</v>
      </c>
      <c r="K167" s="22">
        <f>DATE(2027,12,9)</f>
        <v>46730</v>
      </c>
      <c r="L167" s="21" t="s">
        <v>1374</v>
      </c>
      <c r="M167" s="21" t="s">
        <v>1302</v>
      </c>
    </row>
    <row r="168" spans="1:13" x14ac:dyDescent="0.25">
      <c r="A168" s="21" t="s">
        <v>1651</v>
      </c>
      <c r="B168" s="21" t="s">
        <v>1652</v>
      </c>
      <c r="C168" s="21" t="s">
        <v>1296</v>
      </c>
      <c r="D168" s="21" t="s">
        <v>1297</v>
      </c>
      <c r="E168" s="21" t="s">
        <v>1379</v>
      </c>
      <c r="F168" s="21" t="s">
        <v>1297</v>
      </c>
      <c r="G168" s="21" t="s">
        <v>1305</v>
      </c>
      <c r="H168" s="21" t="s">
        <v>1386</v>
      </c>
      <c r="I168" s="22">
        <f>DATE(2019,12,3)</f>
        <v>43802</v>
      </c>
      <c r="J168" s="22">
        <f>DATE(2019,12,3)</f>
        <v>43802</v>
      </c>
      <c r="K168" s="22">
        <f>DATE(2024,12,3)</f>
        <v>45629</v>
      </c>
      <c r="L168" s="21" t="s">
        <v>1301</v>
      </c>
      <c r="M168" s="21" t="s">
        <v>1302</v>
      </c>
    </row>
    <row r="169" spans="1:13" x14ac:dyDescent="0.25">
      <c r="A169" s="21" t="s">
        <v>1653</v>
      </c>
      <c r="B169" s="21" t="s">
        <v>1654</v>
      </c>
      <c r="C169" s="21" t="s">
        <v>1296</v>
      </c>
      <c r="D169" s="21" t="s">
        <v>1297</v>
      </c>
      <c r="E169" s="21" t="s">
        <v>1379</v>
      </c>
      <c r="F169" s="21" t="s">
        <v>1297</v>
      </c>
      <c r="G169" s="21" t="s">
        <v>1305</v>
      </c>
      <c r="H169" s="21" t="s">
        <v>1300</v>
      </c>
      <c r="I169" s="22">
        <f>DATE(2020,2,18)</f>
        <v>43879</v>
      </c>
      <c r="J169" s="22">
        <f>DATE(2020,2,18)</f>
        <v>43879</v>
      </c>
      <c r="K169" s="22">
        <f>DATE(2025,2,18)</f>
        <v>45706</v>
      </c>
      <c r="L169" s="21" t="s">
        <v>1301</v>
      </c>
      <c r="M169" s="21" t="s">
        <v>1302</v>
      </c>
    </row>
    <row r="170" spans="1:13" x14ac:dyDescent="0.25">
      <c r="A170" s="21" t="s">
        <v>1655</v>
      </c>
      <c r="B170" s="21" t="s">
        <v>1656</v>
      </c>
      <c r="C170" s="21" t="s">
        <v>1296</v>
      </c>
      <c r="D170" s="21" t="s">
        <v>1297</v>
      </c>
      <c r="E170" s="21" t="s">
        <v>1379</v>
      </c>
      <c r="F170" s="21" t="s">
        <v>1297</v>
      </c>
      <c r="G170" s="21" t="s">
        <v>1299</v>
      </c>
      <c r="H170" s="21" t="s">
        <v>1300</v>
      </c>
      <c r="I170" s="22">
        <f>DATE(2020,8,21)</f>
        <v>44064</v>
      </c>
      <c r="J170" s="22">
        <f>DATE(2020,8,21)</f>
        <v>44064</v>
      </c>
      <c r="K170" s="22">
        <f>DATE(2025,8,21)</f>
        <v>45890</v>
      </c>
      <c r="L170" s="21" t="s">
        <v>1301</v>
      </c>
      <c r="M170" s="21" t="s">
        <v>1302</v>
      </c>
    </row>
    <row r="171" spans="1:13" x14ac:dyDescent="0.25">
      <c r="A171" s="21" t="s">
        <v>1657</v>
      </c>
      <c r="B171" s="21" t="s">
        <v>1658</v>
      </c>
      <c r="C171" s="21" t="s">
        <v>1296</v>
      </c>
      <c r="D171" s="21" t="s">
        <v>1297</v>
      </c>
      <c r="E171" s="21" t="s">
        <v>1379</v>
      </c>
      <c r="F171" s="21" t="s">
        <v>1297</v>
      </c>
      <c r="G171" s="21" t="s">
        <v>1299</v>
      </c>
      <c r="H171" s="21" t="s">
        <v>1316</v>
      </c>
      <c r="I171" s="22">
        <f>DATE(2022,4,8)</f>
        <v>44659</v>
      </c>
      <c r="J171" s="22">
        <f>DATE(2022,4,8)</f>
        <v>44659</v>
      </c>
      <c r="K171" s="22">
        <f>DATE(2027,4,8)</f>
        <v>46485</v>
      </c>
      <c r="L171" s="21" t="s">
        <v>1301</v>
      </c>
      <c r="M171" s="21" t="s">
        <v>1302</v>
      </c>
    </row>
    <row r="172" spans="1:13" x14ac:dyDescent="0.25">
      <c r="A172" s="21" t="s">
        <v>1659</v>
      </c>
      <c r="B172" s="21" t="s">
        <v>1660</v>
      </c>
      <c r="C172" s="21" t="s">
        <v>1296</v>
      </c>
      <c r="D172" s="21" t="s">
        <v>1297</v>
      </c>
      <c r="E172" s="21" t="s">
        <v>1379</v>
      </c>
      <c r="F172" s="21" t="s">
        <v>1297</v>
      </c>
      <c r="G172" s="21" t="s">
        <v>1305</v>
      </c>
      <c r="H172" s="21" t="s">
        <v>1386</v>
      </c>
      <c r="I172" s="22">
        <f>DATE(2020,3,27)</f>
        <v>43917</v>
      </c>
      <c r="J172" s="22">
        <f>DATE(2020,3,27)</f>
        <v>43917</v>
      </c>
      <c r="K172" s="22">
        <f>DATE(2025,3,27)</f>
        <v>45743</v>
      </c>
      <c r="L172" s="21" t="s">
        <v>1301</v>
      </c>
      <c r="M172" s="21" t="s">
        <v>1302</v>
      </c>
    </row>
    <row r="173" spans="1:13" x14ac:dyDescent="0.25">
      <c r="A173" s="21" t="s">
        <v>1661</v>
      </c>
      <c r="B173" s="21" t="s">
        <v>1662</v>
      </c>
      <c r="C173" s="21" t="s">
        <v>1296</v>
      </c>
      <c r="D173" s="21" t="s">
        <v>1297</v>
      </c>
      <c r="E173" s="21" t="s">
        <v>1379</v>
      </c>
      <c r="F173" s="21" t="s">
        <v>1297</v>
      </c>
      <c r="G173" s="21" t="s">
        <v>1305</v>
      </c>
      <c r="H173" s="21" t="s">
        <v>1300</v>
      </c>
      <c r="I173" s="22">
        <f>DATE(2023,12,19)</f>
        <v>45279</v>
      </c>
      <c r="J173" s="22">
        <f>DATE(2023,12,19)</f>
        <v>45279</v>
      </c>
      <c r="K173" s="22">
        <f>DATE(2028,12,19)</f>
        <v>47106</v>
      </c>
      <c r="L173" s="21" t="s">
        <v>1307</v>
      </c>
      <c r="M173" s="21" t="s">
        <v>1302</v>
      </c>
    </row>
    <row r="174" spans="1:13" x14ac:dyDescent="0.25">
      <c r="A174" s="21" t="s">
        <v>1663</v>
      </c>
      <c r="B174" s="21" t="s">
        <v>1664</v>
      </c>
      <c r="C174" s="21" t="s">
        <v>1296</v>
      </c>
      <c r="D174" s="21" t="s">
        <v>1297</v>
      </c>
      <c r="E174" s="21" t="s">
        <v>1379</v>
      </c>
      <c r="F174" s="21" t="s">
        <v>1297</v>
      </c>
      <c r="G174" s="21" t="s">
        <v>1299</v>
      </c>
      <c r="H174" s="21" t="s">
        <v>1386</v>
      </c>
      <c r="I174" s="22">
        <f>DATE(2023,8,31)</f>
        <v>45169</v>
      </c>
      <c r="J174" s="22">
        <f>DATE(2023,8,31)</f>
        <v>45169</v>
      </c>
      <c r="K174" s="22">
        <f>DATE(2028,8,30)</f>
        <v>46995</v>
      </c>
      <c r="L174" s="21" t="s">
        <v>1374</v>
      </c>
      <c r="M174" s="21" t="s">
        <v>1302</v>
      </c>
    </row>
    <row r="175" spans="1:13" x14ac:dyDescent="0.25">
      <c r="A175" s="21" t="s">
        <v>1665</v>
      </c>
      <c r="B175" s="21" t="s">
        <v>1666</v>
      </c>
      <c r="C175" s="21" t="s">
        <v>1296</v>
      </c>
      <c r="D175" s="21" t="s">
        <v>1297</v>
      </c>
      <c r="E175" s="21" t="s">
        <v>1379</v>
      </c>
      <c r="F175" s="21" t="s">
        <v>1297</v>
      </c>
      <c r="G175" s="21" t="s">
        <v>1305</v>
      </c>
      <c r="H175" s="21" t="s">
        <v>1316</v>
      </c>
      <c r="I175" s="22">
        <f>DATE(2024,11,25)</f>
        <v>45621</v>
      </c>
      <c r="J175" s="22">
        <f>DATE(2024,11,25)</f>
        <v>45621</v>
      </c>
      <c r="K175" s="22">
        <f>DATE(2029,11,25)</f>
        <v>47447</v>
      </c>
      <c r="L175" s="21" t="s">
        <v>1307</v>
      </c>
      <c r="M175" s="21" t="s">
        <v>1302</v>
      </c>
    </row>
    <row r="176" spans="1:13" x14ac:dyDescent="0.25">
      <c r="A176" s="21" t="s">
        <v>1667</v>
      </c>
      <c r="B176" s="21" t="s">
        <v>1668</v>
      </c>
      <c r="C176" s="21" t="s">
        <v>1296</v>
      </c>
      <c r="D176" s="21" t="s">
        <v>1297</v>
      </c>
      <c r="E176" s="21" t="s">
        <v>1379</v>
      </c>
      <c r="F176" s="21" t="s">
        <v>1297</v>
      </c>
      <c r="G176" s="21" t="s">
        <v>1299</v>
      </c>
      <c r="H176" s="21" t="s">
        <v>1386</v>
      </c>
      <c r="I176" s="22">
        <f>DATE(2022,9,1)</f>
        <v>44805</v>
      </c>
      <c r="J176" s="22">
        <f>DATE(2022,9,1)</f>
        <v>44805</v>
      </c>
      <c r="K176" s="22">
        <f>DATE(2027,9,1)</f>
        <v>46631</v>
      </c>
      <c r="L176" s="21" t="s">
        <v>1301</v>
      </c>
      <c r="M176" s="21" t="s">
        <v>1302</v>
      </c>
    </row>
    <row r="177" spans="1:13" x14ac:dyDescent="0.25">
      <c r="A177" s="21" t="s">
        <v>1669</v>
      </c>
      <c r="B177" s="21" t="s">
        <v>1670</v>
      </c>
      <c r="C177" s="21" t="s">
        <v>1296</v>
      </c>
      <c r="D177" s="21" t="s">
        <v>1297</v>
      </c>
      <c r="E177" s="21" t="s">
        <v>1379</v>
      </c>
      <c r="F177" s="21" t="s">
        <v>1297</v>
      </c>
      <c r="G177" s="21" t="s">
        <v>1299</v>
      </c>
      <c r="H177" s="21" t="s">
        <v>1300</v>
      </c>
      <c r="I177" s="22">
        <f>DATE(2024,1,31)</f>
        <v>45322</v>
      </c>
      <c r="J177" s="22">
        <f>DATE(2024,1,31)</f>
        <v>45322</v>
      </c>
      <c r="K177" s="22">
        <f>DATE(2029,1,31)</f>
        <v>47149</v>
      </c>
      <c r="L177" s="21" t="s">
        <v>1307</v>
      </c>
      <c r="M177" s="21" t="s">
        <v>1302</v>
      </c>
    </row>
    <row r="178" spans="1:13" x14ac:dyDescent="0.25">
      <c r="A178" s="21" t="s">
        <v>1671</v>
      </c>
      <c r="B178" s="21" t="s">
        <v>1672</v>
      </c>
      <c r="C178" s="21" t="s">
        <v>1296</v>
      </c>
      <c r="D178" s="21" t="s">
        <v>1297</v>
      </c>
      <c r="E178" s="21" t="s">
        <v>1379</v>
      </c>
      <c r="F178" s="21" t="s">
        <v>1297</v>
      </c>
      <c r="G178" s="21" t="s">
        <v>1305</v>
      </c>
      <c r="H178" s="21" t="s">
        <v>1316</v>
      </c>
      <c r="I178" s="22">
        <f>DATE(2022,2,15)</f>
        <v>44607</v>
      </c>
      <c r="J178" s="22">
        <f>DATE(2022,2,15)</f>
        <v>44607</v>
      </c>
      <c r="K178" s="22">
        <f>DATE(2027,2,15)</f>
        <v>46433</v>
      </c>
      <c r="L178" s="21" t="s">
        <v>1301</v>
      </c>
      <c r="M178" s="21" t="s">
        <v>1302</v>
      </c>
    </row>
    <row r="179" spans="1:13" x14ac:dyDescent="0.25">
      <c r="A179" s="21" t="s">
        <v>1673</v>
      </c>
      <c r="B179" s="21" t="s">
        <v>1674</v>
      </c>
      <c r="C179" s="21" t="s">
        <v>1296</v>
      </c>
      <c r="D179" s="21" t="s">
        <v>1297</v>
      </c>
      <c r="E179" s="21" t="s">
        <v>1379</v>
      </c>
      <c r="F179" s="21" t="s">
        <v>1297</v>
      </c>
      <c r="G179" s="21" t="s">
        <v>1299</v>
      </c>
      <c r="H179" s="21" t="s">
        <v>1300</v>
      </c>
      <c r="I179" s="22">
        <f>DATE(2021,5,20)</f>
        <v>44336</v>
      </c>
      <c r="J179" s="22">
        <f>DATE(2021,5,20)</f>
        <v>44336</v>
      </c>
      <c r="K179" s="22">
        <f>DATE(2026,5,20)</f>
        <v>46162</v>
      </c>
      <c r="L179" s="21" t="s">
        <v>1301</v>
      </c>
      <c r="M179" s="21" t="s">
        <v>1302</v>
      </c>
    </row>
    <row r="180" spans="1:13" x14ac:dyDescent="0.25">
      <c r="A180" s="21" t="s">
        <v>1675</v>
      </c>
      <c r="B180" s="21" t="s">
        <v>1676</v>
      </c>
      <c r="C180" s="21" t="s">
        <v>1296</v>
      </c>
      <c r="D180" s="21" t="s">
        <v>1297</v>
      </c>
      <c r="E180" s="21" t="s">
        <v>1379</v>
      </c>
      <c r="F180" s="21" t="s">
        <v>1297</v>
      </c>
      <c r="G180" s="21" t="s">
        <v>1299</v>
      </c>
      <c r="H180" s="21" t="s">
        <v>1316</v>
      </c>
      <c r="I180" s="22">
        <f>DATE(2020,8,27)</f>
        <v>44070</v>
      </c>
      <c r="J180" s="22">
        <f>DATE(2020,8,27)</f>
        <v>44070</v>
      </c>
      <c r="K180" s="22">
        <f>DATE(2025,8,27)</f>
        <v>45896</v>
      </c>
      <c r="L180" s="21" t="s">
        <v>1301</v>
      </c>
      <c r="M180" s="21" t="s">
        <v>1302</v>
      </c>
    </row>
    <row r="181" spans="1:13" x14ac:dyDescent="0.25">
      <c r="A181" s="21" t="s">
        <v>1677</v>
      </c>
      <c r="B181" s="21" t="s">
        <v>1678</v>
      </c>
      <c r="C181" s="21" t="s">
        <v>1296</v>
      </c>
      <c r="D181" s="21" t="s">
        <v>1297</v>
      </c>
      <c r="E181" s="21" t="s">
        <v>1379</v>
      </c>
      <c r="F181" s="21" t="s">
        <v>1297</v>
      </c>
      <c r="G181" s="21" t="s">
        <v>1299</v>
      </c>
      <c r="H181" s="21" t="s">
        <v>1386</v>
      </c>
      <c r="I181" s="22">
        <f>DATE(2024,9,13)</f>
        <v>45548</v>
      </c>
      <c r="J181" s="22">
        <f>DATE(2024,9,13)</f>
        <v>45548</v>
      </c>
      <c r="K181" s="22">
        <f>DATE(2029,9,13)</f>
        <v>47374</v>
      </c>
      <c r="L181" s="21" t="s">
        <v>1307</v>
      </c>
      <c r="M181" s="21" t="s">
        <v>1302</v>
      </c>
    </row>
    <row r="182" spans="1:13" x14ac:dyDescent="0.25">
      <c r="A182" s="21" t="s">
        <v>1679</v>
      </c>
      <c r="B182" s="21" t="s">
        <v>1680</v>
      </c>
      <c r="C182" s="21" t="s">
        <v>1296</v>
      </c>
      <c r="D182" s="21" t="s">
        <v>1297</v>
      </c>
      <c r="E182" s="21" t="s">
        <v>1379</v>
      </c>
      <c r="F182" s="21" t="s">
        <v>1297</v>
      </c>
      <c r="G182" s="21" t="s">
        <v>1305</v>
      </c>
      <c r="H182" s="21" t="s">
        <v>1300</v>
      </c>
      <c r="I182" s="22">
        <f>DATE(2020,2,25)</f>
        <v>43886</v>
      </c>
      <c r="J182" s="22">
        <f>DATE(2020,2,25)</f>
        <v>43886</v>
      </c>
      <c r="K182" s="22">
        <f>DATE(2025,2,25)</f>
        <v>45713</v>
      </c>
      <c r="L182" s="21" t="s">
        <v>1374</v>
      </c>
      <c r="M182" s="21" t="s">
        <v>1302</v>
      </c>
    </row>
    <row r="183" spans="1:13" x14ac:dyDescent="0.25">
      <c r="A183" s="21" t="s">
        <v>1681</v>
      </c>
      <c r="B183" s="21" t="s">
        <v>1682</v>
      </c>
      <c r="C183" s="21" t="s">
        <v>1359</v>
      </c>
      <c r="D183" s="21" t="s">
        <v>1297</v>
      </c>
      <c r="E183" s="21" t="s">
        <v>1379</v>
      </c>
      <c r="F183" s="21" t="s">
        <v>1297</v>
      </c>
      <c r="G183" s="21" t="s">
        <v>1299</v>
      </c>
      <c r="H183" s="21" t="s">
        <v>1297</v>
      </c>
      <c r="I183" s="22">
        <f>DATE(1900,1,1)</f>
        <v>1</v>
      </c>
      <c r="J183" s="22">
        <f>DATE(1900,1,1)</f>
        <v>1</v>
      </c>
      <c r="K183" s="22">
        <f>DATE(1900,1,1)</f>
        <v>1</v>
      </c>
      <c r="L183" s="21" t="s">
        <v>1297</v>
      </c>
      <c r="M183" s="21" t="s">
        <v>1302</v>
      </c>
    </row>
    <row r="184" spans="1:13" x14ac:dyDescent="0.25">
      <c r="A184" s="21" t="s">
        <v>1683</v>
      </c>
      <c r="B184" s="21" t="s">
        <v>1684</v>
      </c>
      <c r="C184" s="21" t="s">
        <v>1296</v>
      </c>
      <c r="D184" s="21" t="s">
        <v>1297</v>
      </c>
      <c r="E184" s="21" t="s">
        <v>1379</v>
      </c>
      <c r="F184" s="21" t="s">
        <v>1297</v>
      </c>
      <c r="G184" s="21" t="s">
        <v>1299</v>
      </c>
      <c r="H184" s="21" t="s">
        <v>1386</v>
      </c>
      <c r="I184" s="22">
        <f>DATE(2024,6,11)</f>
        <v>45454</v>
      </c>
      <c r="J184" s="22">
        <f>DATE(2024,6,11)</f>
        <v>45454</v>
      </c>
      <c r="K184" s="22">
        <f>DATE(2029,6,11)</f>
        <v>47280</v>
      </c>
      <c r="L184" s="21" t="s">
        <v>1307</v>
      </c>
      <c r="M184" s="21" t="s">
        <v>1302</v>
      </c>
    </row>
    <row r="185" spans="1:13" x14ac:dyDescent="0.25">
      <c r="A185" s="21" t="s">
        <v>1685</v>
      </c>
      <c r="B185" s="21" t="s">
        <v>1686</v>
      </c>
      <c r="C185" s="21" t="s">
        <v>1296</v>
      </c>
      <c r="D185" s="21" t="s">
        <v>1297</v>
      </c>
      <c r="E185" s="21" t="s">
        <v>1379</v>
      </c>
      <c r="F185" s="21" t="s">
        <v>1297</v>
      </c>
      <c r="G185" s="21" t="s">
        <v>1299</v>
      </c>
      <c r="H185" s="21" t="s">
        <v>1316</v>
      </c>
      <c r="I185" s="22">
        <f>DATE(2020,9,1)</f>
        <v>44075</v>
      </c>
      <c r="J185" s="22">
        <f>DATE(2020,9,1)</f>
        <v>44075</v>
      </c>
      <c r="K185" s="22">
        <f>DATE(2025,9,1)</f>
        <v>45901</v>
      </c>
      <c r="L185" s="21" t="s">
        <v>1301</v>
      </c>
      <c r="M185" s="21" t="s">
        <v>1302</v>
      </c>
    </row>
    <row r="186" spans="1:13" x14ac:dyDescent="0.25">
      <c r="A186" s="21" t="s">
        <v>1687</v>
      </c>
      <c r="B186" s="21" t="s">
        <v>1688</v>
      </c>
      <c r="C186" s="21" t="s">
        <v>1296</v>
      </c>
      <c r="D186" s="21" t="s">
        <v>1297</v>
      </c>
      <c r="E186" s="21" t="s">
        <v>1379</v>
      </c>
      <c r="F186" s="21" t="s">
        <v>1297</v>
      </c>
      <c r="G186" s="21" t="s">
        <v>1305</v>
      </c>
      <c r="H186" s="21" t="s">
        <v>1316</v>
      </c>
      <c r="I186" s="22">
        <f>DATE(2020,4,3)</f>
        <v>43924</v>
      </c>
      <c r="J186" s="22">
        <f>DATE(2020,4,3)</f>
        <v>43924</v>
      </c>
      <c r="K186" s="22">
        <f>DATE(2025,4,3)</f>
        <v>45750</v>
      </c>
      <c r="L186" s="21" t="s">
        <v>1301</v>
      </c>
      <c r="M186" s="21" t="s">
        <v>1302</v>
      </c>
    </row>
    <row r="187" spans="1:13" x14ac:dyDescent="0.25">
      <c r="A187" s="21" t="s">
        <v>1689</v>
      </c>
      <c r="B187" s="21" t="s">
        <v>1690</v>
      </c>
      <c r="C187" s="21" t="s">
        <v>1296</v>
      </c>
      <c r="D187" s="21" t="s">
        <v>1297</v>
      </c>
      <c r="E187" s="21" t="s">
        <v>1379</v>
      </c>
      <c r="F187" s="21" t="s">
        <v>1297</v>
      </c>
      <c r="G187" s="21" t="s">
        <v>1305</v>
      </c>
      <c r="H187" s="21" t="s">
        <v>1306</v>
      </c>
      <c r="I187" s="22">
        <f>DATE(2024,1,4)</f>
        <v>45295</v>
      </c>
      <c r="J187" s="22">
        <f>DATE(2024,1,4)</f>
        <v>45295</v>
      </c>
      <c r="K187" s="22">
        <f>DATE(2024,12,31)</f>
        <v>45657</v>
      </c>
      <c r="L187" s="21" t="s">
        <v>1307</v>
      </c>
      <c r="M187" s="21" t="s">
        <v>1302</v>
      </c>
    </row>
    <row r="188" spans="1:13" x14ac:dyDescent="0.25">
      <c r="A188" s="21" t="s">
        <v>1691</v>
      </c>
      <c r="B188" s="21" t="s">
        <v>1692</v>
      </c>
      <c r="C188" s="21" t="s">
        <v>1296</v>
      </c>
      <c r="D188" s="21" t="s">
        <v>1297</v>
      </c>
      <c r="E188" s="21" t="s">
        <v>1379</v>
      </c>
      <c r="F188" s="21" t="s">
        <v>1297</v>
      </c>
      <c r="G188" s="21" t="s">
        <v>1305</v>
      </c>
      <c r="H188" s="21" t="s">
        <v>1306</v>
      </c>
      <c r="I188" s="22">
        <f>DATE(2024,8,29)</f>
        <v>45533</v>
      </c>
      <c r="J188" s="22">
        <f>DATE(2024,9,5)</f>
        <v>45540</v>
      </c>
      <c r="K188" s="22">
        <f>DATE(2025,6,30)</f>
        <v>45838</v>
      </c>
      <c r="L188" s="21" t="s">
        <v>1307</v>
      </c>
      <c r="M188" s="21" t="s">
        <v>1302</v>
      </c>
    </row>
    <row r="189" spans="1:13" x14ac:dyDescent="0.25">
      <c r="A189" s="21" t="s">
        <v>1693</v>
      </c>
      <c r="B189" s="21" t="s">
        <v>1694</v>
      </c>
      <c r="C189" s="21" t="s">
        <v>1359</v>
      </c>
      <c r="D189" s="21" t="s">
        <v>1297</v>
      </c>
      <c r="E189" s="21" t="s">
        <v>1379</v>
      </c>
      <c r="F189" s="21" t="s">
        <v>1297</v>
      </c>
      <c r="G189" s="21" t="s">
        <v>1364</v>
      </c>
      <c r="H189" s="21" t="s">
        <v>1297</v>
      </c>
      <c r="I189" s="22">
        <f>DATE(1900,1,1)</f>
        <v>1</v>
      </c>
      <c r="J189" s="22">
        <f>DATE(1900,1,1)</f>
        <v>1</v>
      </c>
      <c r="K189" s="22">
        <f>DATE(1900,1,1)</f>
        <v>1</v>
      </c>
      <c r="L189" s="21" t="s">
        <v>1297</v>
      </c>
      <c r="M189" s="21" t="s">
        <v>1302</v>
      </c>
    </row>
    <row r="190" spans="1:13" x14ac:dyDescent="0.25">
      <c r="A190" s="21" t="s">
        <v>1695</v>
      </c>
      <c r="B190" s="21" t="s">
        <v>1696</v>
      </c>
      <c r="C190" s="21" t="s">
        <v>1359</v>
      </c>
      <c r="D190" s="21" t="s">
        <v>1297</v>
      </c>
      <c r="E190" s="21" t="s">
        <v>1379</v>
      </c>
      <c r="F190" s="21" t="s">
        <v>1297</v>
      </c>
      <c r="G190" s="21" t="s">
        <v>1299</v>
      </c>
      <c r="H190" s="21" t="s">
        <v>1306</v>
      </c>
      <c r="I190" s="22">
        <f>DATE(2022,10,13)</f>
        <v>44847</v>
      </c>
      <c r="J190" s="22">
        <f>DATE(2022,10,13)</f>
        <v>44847</v>
      </c>
      <c r="K190" s="22">
        <f>DATE(2023,9,3)</f>
        <v>45172</v>
      </c>
      <c r="L190" s="21" t="s">
        <v>1301</v>
      </c>
      <c r="M190" s="21" t="s">
        <v>1360</v>
      </c>
    </row>
    <row r="191" spans="1:13" x14ac:dyDescent="0.25">
      <c r="A191" s="21" t="s">
        <v>1697</v>
      </c>
      <c r="B191" s="21" t="s">
        <v>1698</v>
      </c>
      <c r="C191" s="21" t="s">
        <v>1359</v>
      </c>
      <c r="D191" s="21" t="s">
        <v>1297</v>
      </c>
      <c r="E191" s="21" t="s">
        <v>1379</v>
      </c>
      <c r="F191" s="21" t="s">
        <v>1297</v>
      </c>
      <c r="G191" s="21" t="s">
        <v>1299</v>
      </c>
      <c r="H191" s="21" t="s">
        <v>1316</v>
      </c>
      <c r="I191" s="22">
        <f>DATE(2021,9,10)</f>
        <v>44449</v>
      </c>
      <c r="J191" s="22">
        <f>DATE(2021,9,10)</f>
        <v>44449</v>
      </c>
      <c r="K191" s="22">
        <f>DATE(2026,9,10)</f>
        <v>46275</v>
      </c>
      <c r="L191" s="21" t="s">
        <v>1301</v>
      </c>
      <c r="M191" s="21" t="s">
        <v>1360</v>
      </c>
    </row>
    <row r="192" spans="1:13" x14ac:dyDescent="0.25">
      <c r="A192" s="21" t="s">
        <v>1699</v>
      </c>
      <c r="B192" s="21" t="s">
        <v>1700</v>
      </c>
      <c r="C192" s="21" t="s">
        <v>1359</v>
      </c>
      <c r="D192" s="21" t="s">
        <v>1297</v>
      </c>
      <c r="E192" s="21" t="s">
        <v>1379</v>
      </c>
      <c r="F192" s="21" t="s">
        <v>1297</v>
      </c>
      <c r="G192" s="21" t="s">
        <v>1305</v>
      </c>
      <c r="H192" s="21" t="s">
        <v>1316</v>
      </c>
      <c r="I192" s="22">
        <f>DATE(2021,2,25)</f>
        <v>44252</v>
      </c>
      <c r="J192" s="22">
        <f>DATE(2021,2,25)</f>
        <v>44252</v>
      </c>
      <c r="K192" s="22">
        <f>DATE(2026,2,25)</f>
        <v>46078</v>
      </c>
      <c r="L192" s="21" t="s">
        <v>1301</v>
      </c>
      <c r="M192" s="21" t="s">
        <v>1360</v>
      </c>
    </row>
    <row r="193" spans="1:13" x14ac:dyDescent="0.25">
      <c r="A193" s="21" t="s">
        <v>1701</v>
      </c>
      <c r="B193" s="21" t="s">
        <v>1702</v>
      </c>
      <c r="C193" s="21" t="s">
        <v>1296</v>
      </c>
      <c r="D193" s="21" t="s">
        <v>1297</v>
      </c>
      <c r="E193" s="21" t="s">
        <v>1379</v>
      </c>
      <c r="F193" s="21" t="s">
        <v>1363</v>
      </c>
      <c r="G193" s="21" t="s">
        <v>1299</v>
      </c>
      <c r="H193" s="21" t="s">
        <v>1306</v>
      </c>
      <c r="I193" s="22">
        <f>DATE(2024,2,19)</f>
        <v>45341</v>
      </c>
      <c r="J193" s="22">
        <f>DATE(2024,2,19)</f>
        <v>45341</v>
      </c>
      <c r="K193" s="22">
        <f>DATE(2025,2,1)</f>
        <v>45689</v>
      </c>
      <c r="L193" s="21" t="s">
        <v>1307</v>
      </c>
      <c r="M193" s="21" t="s">
        <v>1302</v>
      </c>
    </row>
    <row r="194" spans="1:13" x14ac:dyDescent="0.25">
      <c r="A194" s="21" t="s">
        <v>1703</v>
      </c>
      <c r="B194" s="21" t="s">
        <v>1704</v>
      </c>
      <c r="C194" s="21" t="s">
        <v>1296</v>
      </c>
      <c r="D194" s="21" t="s">
        <v>1297</v>
      </c>
      <c r="E194" s="21" t="s">
        <v>1379</v>
      </c>
      <c r="F194" s="21" t="s">
        <v>1363</v>
      </c>
      <c r="G194" s="21" t="s">
        <v>1305</v>
      </c>
      <c r="H194" s="21" t="s">
        <v>1386</v>
      </c>
      <c r="I194" s="22">
        <f>DATE(2020,8,5)</f>
        <v>44048</v>
      </c>
      <c r="J194" s="22">
        <f>DATE(2020,8,5)</f>
        <v>44048</v>
      </c>
      <c r="K194" s="22">
        <f>DATE(2025,8,5)</f>
        <v>45874</v>
      </c>
      <c r="L194" s="21" t="s">
        <v>1301</v>
      </c>
      <c r="M194" s="21" t="s">
        <v>1302</v>
      </c>
    </row>
    <row r="195" spans="1:13" x14ac:dyDescent="0.25">
      <c r="A195" s="21" t="s">
        <v>1705</v>
      </c>
      <c r="B195" s="21" t="s">
        <v>1706</v>
      </c>
      <c r="C195" s="21" t="s">
        <v>1296</v>
      </c>
      <c r="D195" s="21" t="s">
        <v>1297</v>
      </c>
      <c r="E195" s="21" t="s">
        <v>1379</v>
      </c>
      <c r="F195" s="21" t="s">
        <v>1298</v>
      </c>
      <c r="G195" s="21" t="s">
        <v>1305</v>
      </c>
      <c r="H195" s="21" t="s">
        <v>1316</v>
      </c>
      <c r="I195" s="22">
        <f>DATE(2021,12,14)</f>
        <v>44544</v>
      </c>
      <c r="J195" s="22">
        <f>DATE(2021,12,14)</f>
        <v>44544</v>
      </c>
      <c r="K195" s="22">
        <f>DATE(2026,12,14)</f>
        <v>46370</v>
      </c>
      <c r="L195" s="21" t="s">
        <v>1301</v>
      </c>
      <c r="M195" s="21" t="s">
        <v>1302</v>
      </c>
    </row>
    <row r="196" spans="1:13" x14ac:dyDescent="0.25">
      <c r="A196" s="21" t="s">
        <v>1707</v>
      </c>
      <c r="B196" s="21" t="s">
        <v>1708</v>
      </c>
      <c r="C196" s="21" t="s">
        <v>1296</v>
      </c>
      <c r="D196" s="21" t="s">
        <v>1297</v>
      </c>
      <c r="E196" s="21" t="s">
        <v>1379</v>
      </c>
      <c r="F196" s="21" t="s">
        <v>1298</v>
      </c>
      <c r="G196" s="21" t="s">
        <v>1305</v>
      </c>
      <c r="H196" s="21" t="s">
        <v>1306</v>
      </c>
      <c r="I196" s="22">
        <f t="shared" ref="I196:J205" si="8">DATE(2024,7,1)</f>
        <v>45474</v>
      </c>
      <c r="J196" s="22">
        <f t="shared" si="8"/>
        <v>45474</v>
      </c>
      <c r="K196" s="22">
        <f t="shared" ref="K196:K205" si="9">DATE(2025,6,30)</f>
        <v>45838</v>
      </c>
      <c r="L196" s="21" t="s">
        <v>1307</v>
      </c>
      <c r="M196" s="21" t="s">
        <v>1302</v>
      </c>
    </row>
    <row r="197" spans="1:13" x14ac:dyDescent="0.25">
      <c r="A197" s="21" t="s">
        <v>1709</v>
      </c>
      <c r="B197" s="21" t="s">
        <v>1710</v>
      </c>
      <c r="C197" s="21" t="s">
        <v>1296</v>
      </c>
      <c r="D197" s="21" t="s">
        <v>1297</v>
      </c>
      <c r="E197" s="21" t="s">
        <v>1379</v>
      </c>
      <c r="F197" s="21" t="s">
        <v>1298</v>
      </c>
      <c r="G197" s="21" t="s">
        <v>1305</v>
      </c>
      <c r="H197" s="21" t="s">
        <v>1306</v>
      </c>
      <c r="I197" s="22">
        <f t="shared" si="8"/>
        <v>45474</v>
      </c>
      <c r="J197" s="22">
        <f t="shared" si="8"/>
        <v>45474</v>
      </c>
      <c r="K197" s="22">
        <f t="shared" si="9"/>
        <v>45838</v>
      </c>
      <c r="L197" s="21" t="s">
        <v>1307</v>
      </c>
      <c r="M197" s="21" t="s">
        <v>1302</v>
      </c>
    </row>
    <row r="198" spans="1:13" x14ac:dyDescent="0.25">
      <c r="A198" s="21" t="s">
        <v>1711</v>
      </c>
      <c r="B198" s="21" t="s">
        <v>1712</v>
      </c>
      <c r="C198" s="21" t="s">
        <v>1296</v>
      </c>
      <c r="D198" s="21" t="s">
        <v>1297</v>
      </c>
      <c r="E198" s="21" t="s">
        <v>1379</v>
      </c>
      <c r="F198" s="21" t="s">
        <v>1298</v>
      </c>
      <c r="G198" s="21" t="s">
        <v>1305</v>
      </c>
      <c r="H198" s="21" t="s">
        <v>1306</v>
      </c>
      <c r="I198" s="22">
        <f t="shared" si="8"/>
        <v>45474</v>
      </c>
      <c r="J198" s="22">
        <f t="shared" si="8"/>
        <v>45474</v>
      </c>
      <c r="K198" s="22">
        <f t="shared" si="9"/>
        <v>45838</v>
      </c>
      <c r="L198" s="21" t="s">
        <v>1307</v>
      </c>
      <c r="M198" s="21" t="s">
        <v>1302</v>
      </c>
    </row>
    <row r="199" spans="1:13" x14ac:dyDescent="0.25">
      <c r="A199" s="21" t="s">
        <v>1713</v>
      </c>
      <c r="B199" s="21" t="s">
        <v>1714</v>
      </c>
      <c r="C199" s="21" t="s">
        <v>1296</v>
      </c>
      <c r="D199" s="21" t="s">
        <v>1297</v>
      </c>
      <c r="E199" s="21" t="s">
        <v>1379</v>
      </c>
      <c r="F199" s="21" t="s">
        <v>1298</v>
      </c>
      <c r="G199" s="21" t="s">
        <v>1305</v>
      </c>
      <c r="H199" s="21" t="s">
        <v>1306</v>
      </c>
      <c r="I199" s="22">
        <f t="shared" si="8"/>
        <v>45474</v>
      </c>
      <c r="J199" s="22">
        <f t="shared" si="8"/>
        <v>45474</v>
      </c>
      <c r="K199" s="22">
        <f t="shared" si="9"/>
        <v>45838</v>
      </c>
      <c r="L199" s="21" t="s">
        <v>1307</v>
      </c>
      <c r="M199" s="21" t="s">
        <v>1302</v>
      </c>
    </row>
    <row r="200" spans="1:13" x14ac:dyDescent="0.25">
      <c r="A200" s="21" t="s">
        <v>1715</v>
      </c>
      <c r="B200" s="21" t="s">
        <v>1716</v>
      </c>
      <c r="C200" s="21" t="s">
        <v>1296</v>
      </c>
      <c r="D200" s="21" t="s">
        <v>1297</v>
      </c>
      <c r="E200" s="21" t="s">
        <v>1379</v>
      </c>
      <c r="F200" s="21" t="s">
        <v>1298</v>
      </c>
      <c r="G200" s="21" t="s">
        <v>1305</v>
      </c>
      <c r="H200" s="21" t="s">
        <v>1306</v>
      </c>
      <c r="I200" s="22">
        <f t="shared" si="8"/>
        <v>45474</v>
      </c>
      <c r="J200" s="22">
        <f t="shared" si="8"/>
        <v>45474</v>
      </c>
      <c r="K200" s="22">
        <f t="shared" si="9"/>
        <v>45838</v>
      </c>
      <c r="L200" s="21" t="s">
        <v>1307</v>
      </c>
      <c r="M200" s="21" t="s">
        <v>1302</v>
      </c>
    </row>
    <row r="201" spans="1:13" x14ac:dyDescent="0.25">
      <c r="A201" s="21" t="s">
        <v>1717</v>
      </c>
      <c r="B201" s="21" t="s">
        <v>1718</v>
      </c>
      <c r="C201" s="21" t="s">
        <v>1296</v>
      </c>
      <c r="D201" s="21" t="s">
        <v>1297</v>
      </c>
      <c r="E201" s="21" t="s">
        <v>1379</v>
      </c>
      <c r="F201" s="21" t="s">
        <v>1298</v>
      </c>
      <c r="G201" s="21" t="s">
        <v>1305</v>
      </c>
      <c r="H201" s="21" t="s">
        <v>1306</v>
      </c>
      <c r="I201" s="22">
        <f t="shared" si="8"/>
        <v>45474</v>
      </c>
      <c r="J201" s="22">
        <f t="shared" si="8"/>
        <v>45474</v>
      </c>
      <c r="K201" s="22">
        <f t="shared" si="9"/>
        <v>45838</v>
      </c>
      <c r="L201" s="21" t="s">
        <v>1307</v>
      </c>
      <c r="M201" s="21" t="s">
        <v>1302</v>
      </c>
    </row>
    <row r="202" spans="1:13" x14ac:dyDescent="0.25">
      <c r="A202" s="21" t="s">
        <v>1719</v>
      </c>
      <c r="B202" s="21" t="s">
        <v>1720</v>
      </c>
      <c r="C202" s="21" t="s">
        <v>1296</v>
      </c>
      <c r="D202" s="21" t="s">
        <v>1297</v>
      </c>
      <c r="E202" s="21" t="s">
        <v>1379</v>
      </c>
      <c r="F202" s="21" t="s">
        <v>1298</v>
      </c>
      <c r="G202" s="21" t="s">
        <v>1305</v>
      </c>
      <c r="H202" s="21" t="s">
        <v>1306</v>
      </c>
      <c r="I202" s="22">
        <f t="shared" si="8"/>
        <v>45474</v>
      </c>
      <c r="J202" s="22">
        <f t="shared" si="8"/>
        <v>45474</v>
      </c>
      <c r="K202" s="22">
        <f t="shared" si="9"/>
        <v>45838</v>
      </c>
      <c r="L202" s="21" t="s">
        <v>1307</v>
      </c>
      <c r="M202" s="21" t="s">
        <v>1302</v>
      </c>
    </row>
    <row r="203" spans="1:13" x14ac:dyDescent="0.25">
      <c r="A203" s="21" t="s">
        <v>1721</v>
      </c>
      <c r="B203" s="21" t="s">
        <v>1722</v>
      </c>
      <c r="C203" s="21" t="s">
        <v>1296</v>
      </c>
      <c r="D203" s="21" t="s">
        <v>1297</v>
      </c>
      <c r="E203" s="21" t="s">
        <v>1379</v>
      </c>
      <c r="F203" s="21" t="s">
        <v>1298</v>
      </c>
      <c r="G203" s="21" t="s">
        <v>1305</v>
      </c>
      <c r="H203" s="21" t="s">
        <v>1306</v>
      </c>
      <c r="I203" s="22">
        <f t="shared" si="8"/>
        <v>45474</v>
      </c>
      <c r="J203" s="22">
        <f t="shared" si="8"/>
        <v>45474</v>
      </c>
      <c r="K203" s="22">
        <f t="shared" si="9"/>
        <v>45838</v>
      </c>
      <c r="L203" s="21" t="s">
        <v>1307</v>
      </c>
      <c r="M203" s="21" t="s">
        <v>1302</v>
      </c>
    </row>
    <row r="204" spans="1:13" x14ac:dyDescent="0.25">
      <c r="A204" s="21" t="s">
        <v>1723</v>
      </c>
      <c r="B204" s="21" t="s">
        <v>1724</v>
      </c>
      <c r="C204" s="21" t="s">
        <v>1296</v>
      </c>
      <c r="D204" s="21" t="s">
        <v>1297</v>
      </c>
      <c r="E204" s="21" t="s">
        <v>1379</v>
      </c>
      <c r="F204" s="21" t="s">
        <v>1298</v>
      </c>
      <c r="G204" s="21" t="s">
        <v>1305</v>
      </c>
      <c r="H204" s="21" t="s">
        <v>1306</v>
      </c>
      <c r="I204" s="22">
        <f t="shared" si="8"/>
        <v>45474</v>
      </c>
      <c r="J204" s="22">
        <f t="shared" si="8"/>
        <v>45474</v>
      </c>
      <c r="K204" s="22">
        <f t="shared" si="9"/>
        <v>45838</v>
      </c>
      <c r="L204" s="21" t="s">
        <v>1307</v>
      </c>
      <c r="M204" s="21" t="s">
        <v>1302</v>
      </c>
    </row>
    <row r="205" spans="1:13" x14ac:dyDescent="0.25">
      <c r="A205" s="21" t="s">
        <v>1725</v>
      </c>
      <c r="B205" s="21" t="s">
        <v>1726</v>
      </c>
      <c r="C205" s="21" t="s">
        <v>1296</v>
      </c>
      <c r="D205" s="21" t="s">
        <v>1297</v>
      </c>
      <c r="E205" s="21" t="s">
        <v>1379</v>
      </c>
      <c r="F205" s="21" t="s">
        <v>1298</v>
      </c>
      <c r="G205" s="21" t="s">
        <v>1305</v>
      </c>
      <c r="H205" s="21" t="s">
        <v>1306</v>
      </c>
      <c r="I205" s="22">
        <f t="shared" si="8"/>
        <v>45474</v>
      </c>
      <c r="J205" s="22">
        <f t="shared" si="8"/>
        <v>45474</v>
      </c>
      <c r="K205" s="22">
        <f t="shared" si="9"/>
        <v>45838</v>
      </c>
      <c r="L205" s="21" t="s">
        <v>1307</v>
      </c>
      <c r="M205" s="21" t="s">
        <v>1302</v>
      </c>
    </row>
    <row r="206" spans="1:13" x14ac:dyDescent="0.25">
      <c r="A206" s="21" t="s">
        <v>1727</v>
      </c>
      <c r="B206" s="21" t="s">
        <v>1728</v>
      </c>
      <c r="C206" s="21" t="s">
        <v>1296</v>
      </c>
      <c r="D206" s="21" t="s">
        <v>1297</v>
      </c>
      <c r="E206" s="21" t="s">
        <v>1379</v>
      </c>
      <c r="F206" s="21" t="s">
        <v>1298</v>
      </c>
      <c r="G206" s="21" t="s">
        <v>1305</v>
      </c>
      <c r="H206" s="21" t="s">
        <v>1300</v>
      </c>
      <c r="I206" s="22">
        <f>DATE(2021,10,22)</f>
        <v>44491</v>
      </c>
      <c r="J206" s="22">
        <f>DATE(2021,10,22)</f>
        <v>44491</v>
      </c>
      <c r="K206" s="22">
        <f>DATE(2026,10,22)</f>
        <v>46317</v>
      </c>
      <c r="L206" s="21" t="s">
        <v>1301</v>
      </c>
      <c r="M206" s="21" t="s">
        <v>1302</v>
      </c>
    </row>
    <row r="207" spans="1:13" x14ac:dyDescent="0.25">
      <c r="A207" s="21" t="s">
        <v>1729</v>
      </c>
      <c r="B207" s="21" t="s">
        <v>1730</v>
      </c>
      <c r="C207" s="21" t="s">
        <v>1296</v>
      </c>
      <c r="D207" s="21" t="s">
        <v>1297</v>
      </c>
      <c r="E207" s="21" t="s">
        <v>1379</v>
      </c>
      <c r="F207" s="21" t="s">
        <v>1298</v>
      </c>
      <c r="G207" s="21" t="s">
        <v>1305</v>
      </c>
      <c r="H207" s="21" t="s">
        <v>1306</v>
      </c>
      <c r="I207" s="22">
        <f>DATE(2024,3,15)</f>
        <v>45366</v>
      </c>
      <c r="J207" s="22">
        <f>DATE(2024,3,15)</f>
        <v>45366</v>
      </c>
      <c r="K207" s="22">
        <f>DATE(2025,3,1)</f>
        <v>45717</v>
      </c>
      <c r="L207" s="21" t="s">
        <v>1307</v>
      </c>
      <c r="M207" s="21" t="s">
        <v>1302</v>
      </c>
    </row>
    <row r="208" spans="1:13" x14ac:dyDescent="0.25">
      <c r="A208" s="21" t="s">
        <v>1731</v>
      </c>
      <c r="B208" s="21" t="s">
        <v>1732</v>
      </c>
      <c r="C208" s="21" t="s">
        <v>1296</v>
      </c>
      <c r="D208" s="21" t="s">
        <v>1297</v>
      </c>
      <c r="E208" s="21" t="s">
        <v>1379</v>
      </c>
      <c r="F208" s="21" t="s">
        <v>1298</v>
      </c>
      <c r="G208" s="21" t="s">
        <v>1305</v>
      </c>
      <c r="H208" s="21" t="s">
        <v>1733</v>
      </c>
      <c r="I208" s="22">
        <f>DATE(2024,10,1)</f>
        <v>45566</v>
      </c>
      <c r="J208" s="22">
        <f>DATE(2024,10,1)</f>
        <v>45566</v>
      </c>
      <c r="K208" s="22">
        <f>DATE(1900,1,1)</f>
        <v>1</v>
      </c>
      <c r="L208" s="21" t="s">
        <v>1734</v>
      </c>
      <c r="M208" s="21" t="s">
        <v>1302</v>
      </c>
    </row>
    <row r="209" spans="1:13" x14ac:dyDescent="0.25">
      <c r="A209" s="21" t="s">
        <v>1735</v>
      </c>
      <c r="B209" s="21" t="s">
        <v>1736</v>
      </c>
      <c r="C209" s="21" t="s">
        <v>1296</v>
      </c>
      <c r="D209" s="21" t="s">
        <v>1297</v>
      </c>
      <c r="E209" s="21" t="s">
        <v>1379</v>
      </c>
      <c r="F209" s="21" t="s">
        <v>1298</v>
      </c>
      <c r="G209" s="21" t="s">
        <v>1305</v>
      </c>
      <c r="H209" s="21" t="s">
        <v>1300</v>
      </c>
      <c r="I209" s="22">
        <f>DATE(2023,9,19)</f>
        <v>45188</v>
      </c>
      <c r="J209" s="22">
        <f>DATE(2023,9,19)</f>
        <v>45188</v>
      </c>
      <c r="K209" s="22">
        <f>DATE(2028,9,19)</f>
        <v>47015</v>
      </c>
      <c r="L209" s="21" t="s">
        <v>1307</v>
      </c>
      <c r="M209" s="21" t="s">
        <v>1302</v>
      </c>
    </row>
    <row r="210" spans="1:13" x14ac:dyDescent="0.25">
      <c r="A210" s="21" t="s">
        <v>1737</v>
      </c>
      <c r="B210" s="21" t="s">
        <v>1738</v>
      </c>
      <c r="C210" s="21" t="s">
        <v>1296</v>
      </c>
      <c r="D210" s="21" t="s">
        <v>1297</v>
      </c>
      <c r="E210" s="21" t="s">
        <v>1379</v>
      </c>
      <c r="F210" s="21" t="s">
        <v>1298</v>
      </c>
      <c r="G210" s="21" t="s">
        <v>1305</v>
      </c>
      <c r="H210" s="21" t="s">
        <v>1297</v>
      </c>
      <c r="I210" s="22">
        <f>DATE(1900,1,1)</f>
        <v>1</v>
      </c>
      <c r="J210" s="22">
        <f>DATE(1900,1,1)</f>
        <v>1</v>
      </c>
      <c r="K210" s="22">
        <f>DATE(1900,1,1)</f>
        <v>1</v>
      </c>
      <c r="L210" s="21" t="s">
        <v>1297</v>
      </c>
      <c r="M210" s="21" t="s">
        <v>1302</v>
      </c>
    </row>
    <row r="211" spans="1:13" x14ac:dyDescent="0.25">
      <c r="A211" s="21" t="s">
        <v>1739</v>
      </c>
      <c r="B211" s="21" t="s">
        <v>1740</v>
      </c>
      <c r="C211" s="21" t="s">
        <v>1296</v>
      </c>
      <c r="D211" s="21" t="s">
        <v>1297</v>
      </c>
      <c r="E211" s="21" t="s">
        <v>1379</v>
      </c>
      <c r="F211" s="21" t="s">
        <v>1298</v>
      </c>
      <c r="G211" s="21" t="s">
        <v>1305</v>
      </c>
      <c r="H211" s="21" t="s">
        <v>1300</v>
      </c>
      <c r="I211" s="22">
        <f>DATE(2020,4,15)</f>
        <v>43936</v>
      </c>
      <c r="J211" s="22">
        <f>DATE(2020,4,15)</f>
        <v>43936</v>
      </c>
      <c r="K211" s="22">
        <f>DATE(2025,4,15)</f>
        <v>45762</v>
      </c>
      <c r="L211" s="21" t="s">
        <v>1301</v>
      </c>
      <c r="M211" s="21" t="s">
        <v>1302</v>
      </c>
    </row>
    <row r="212" spans="1:13" x14ac:dyDescent="0.25">
      <c r="A212" s="21" t="s">
        <v>1741</v>
      </c>
      <c r="B212" s="21" t="s">
        <v>1742</v>
      </c>
      <c r="C212" s="21" t="s">
        <v>1296</v>
      </c>
      <c r="D212" s="21" t="s">
        <v>1297</v>
      </c>
      <c r="E212" s="21" t="s">
        <v>1379</v>
      </c>
      <c r="F212" s="21" t="s">
        <v>1298</v>
      </c>
      <c r="G212" s="21" t="s">
        <v>1305</v>
      </c>
      <c r="H212" s="21" t="s">
        <v>1297</v>
      </c>
      <c r="I212" s="22">
        <f>DATE(1900,1,1)</f>
        <v>1</v>
      </c>
      <c r="J212" s="22">
        <f>DATE(1900,1,1)</f>
        <v>1</v>
      </c>
      <c r="K212" s="22">
        <f>DATE(1900,1,1)</f>
        <v>1</v>
      </c>
      <c r="L212" s="21" t="s">
        <v>1297</v>
      </c>
      <c r="M212" s="21" t="s">
        <v>1302</v>
      </c>
    </row>
    <row r="213" spans="1:13" x14ac:dyDescent="0.25">
      <c r="A213" s="21" t="s">
        <v>1743</v>
      </c>
      <c r="B213" s="21" t="s">
        <v>1744</v>
      </c>
      <c r="C213" s="21" t="s">
        <v>1296</v>
      </c>
      <c r="D213" s="21" t="s">
        <v>1297</v>
      </c>
      <c r="E213" s="21" t="s">
        <v>1379</v>
      </c>
      <c r="F213" s="21" t="s">
        <v>1298</v>
      </c>
      <c r="G213" s="21" t="s">
        <v>1305</v>
      </c>
      <c r="H213" s="21" t="s">
        <v>1306</v>
      </c>
      <c r="I213" s="22">
        <f>DATE(2024,6,19)</f>
        <v>45462</v>
      </c>
      <c r="J213" s="22">
        <f>DATE(2024,6,19)</f>
        <v>45462</v>
      </c>
      <c r="K213" s="22">
        <f>DATE(2024,11,23)</f>
        <v>45619</v>
      </c>
      <c r="L213" s="21" t="s">
        <v>1307</v>
      </c>
      <c r="M213" s="21" t="s">
        <v>1302</v>
      </c>
    </row>
    <row r="214" spans="1:13" x14ac:dyDescent="0.25">
      <c r="A214" s="21" t="s">
        <v>1745</v>
      </c>
      <c r="B214" s="21" t="s">
        <v>1746</v>
      </c>
      <c r="C214" s="21" t="s">
        <v>1296</v>
      </c>
      <c r="D214" s="21" t="s">
        <v>1297</v>
      </c>
      <c r="E214" s="21" t="s">
        <v>1379</v>
      </c>
      <c r="F214" s="21" t="s">
        <v>1298</v>
      </c>
      <c r="G214" s="21" t="s">
        <v>1305</v>
      </c>
      <c r="H214" s="21" t="s">
        <v>1306</v>
      </c>
      <c r="I214" s="22">
        <f>DATE(2024,3,11)</f>
        <v>45362</v>
      </c>
      <c r="J214" s="22">
        <f>DATE(2024,3,11)</f>
        <v>45362</v>
      </c>
      <c r="K214" s="22">
        <f>DATE(2025,3,26)</f>
        <v>45742</v>
      </c>
      <c r="L214" s="21" t="s">
        <v>1307</v>
      </c>
      <c r="M214" s="21" t="s">
        <v>1302</v>
      </c>
    </row>
    <row r="215" spans="1:13" x14ac:dyDescent="0.25">
      <c r="A215" s="21" t="s">
        <v>1747</v>
      </c>
      <c r="B215" s="21" t="s">
        <v>1748</v>
      </c>
      <c r="C215" s="21" t="s">
        <v>1296</v>
      </c>
      <c r="D215" s="21" t="s">
        <v>1297</v>
      </c>
      <c r="E215" s="21" t="s">
        <v>1379</v>
      </c>
      <c r="F215" s="21" t="s">
        <v>1298</v>
      </c>
      <c r="G215" s="21" t="s">
        <v>1305</v>
      </c>
      <c r="H215" s="21" t="s">
        <v>1316</v>
      </c>
      <c r="I215" s="22">
        <f>DATE(2024,2,16)</f>
        <v>45338</v>
      </c>
      <c r="J215" s="22">
        <f>DATE(2024,2,16)</f>
        <v>45338</v>
      </c>
      <c r="K215" s="22">
        <f>DATE(2029,2,16)</f>
        <v>47165</v>
      </c>
      <c r="L215" s="21" t="s">
        <v>1307</v>
      </c>
      <c r="M215" s="21" t="s">
        <v>1302</v>
      </c>
    </row>
    <row r="216" spans="1:13" x14ac:dyDescent="0.25">
      <c r="A216" s="21" t="s">
        <v>1749</v>
      </c>
      <c r="B216" s="21" t="s">
        <v>1750</v>
      </c>
      <c r="C216" s="21" t="s">
        <v>1296</v>
      </c>
      <c r="D216" s="21" t="s">
        <v>1297</v>
      </c>
      <c r="E216" s="21" t="s">
        <v>1379</v>
      </c>
      <c r="F216" s="21" t="s">
        <v>1298</v>
      </c>
      <c r="G216" s="21" t="s">
        <v>1305</v>
      </c>
      <c r="H216" s="21" t="s">
        <v>1316</v>
      </c>
      <c r="I216" s="22">
        <f>DATE(2023,8,31)</f>
        <v>45169</v>
      </c>
      <c r="J216" s="22">
        <f>DATE(2023,8,31)</f>
        <v>45169</v>
      </c>
      <c r="K216" s="22">
        <f>DATE(1900,1,1)</f>
        <v>1</v>
      </c>
      <c r="L216" s="21" t="s">
        <v>1374</v>
      </c>
      <c r="M216" s="21" t="s">
        <v>1302</v>
      </c>
    </row>
    <row r="217" spans="1:13" x14ac:dyDescent="0.25">
      <c r="A217" s="21" t="s">
        <v>1751</v>
      </c>
      <c r="B217" s="21" t="s">
        <v>1752</v>
      </c>
      <c r="C217" s="21" t="s">
        <v>1296</v>
      </c>
      <c r="D217" s="21" t="s">
        <v>1297</v>
      </c>
      <c r="E217" s="21" t="s">
        <v>1379</v>
      </c>
      <c r="F217" s="21" t="s">
        <v>1298</v>
      </c>
      <c r="G217" s="21" t="s">
        <v>1305</v>
      </c>
      <c r="H217" s="21" t="s">
        <v>1306</v>
      </c>
      <c r="I217" s="22">
        <f>DATE(2024,11,6)</f>
        <v>45602</v>
      </c>
      <c r="J217" s="22">
        <f>DATE(2024,11,6)</f>
        <v>45602</v>
      </c>
      <c r="K217" s="22">
        <f>DATE(2025,11,1)</f>
        <v>45962</v>
      </c>
      <c r="L217" s="21" t="s">
        <v>1307</v>
      </c>
      <c r="M217" s="21" t="s">
        <v>1302</v>
      </c>
    </row>
    <row r="218" spans="1:13" x14ac:dyDescent="0.25">
      <c r="A218" s="21" t="s">
        <v>1753</v>
      </c>
      <c r="B218" s="21" t="s">
        <v>1754</v>
      </c>
      <c r="C218" s="21" t="s">
        <v>1296</v>
      </c>
      <c r="D218" s="21" t="s">
        <v>1297</v>
      </c>
      <c r="E218" s="21" t="s">
        <v>1379</v>
      </c>
      <c r="F218" s="21" t="s">
        <v>1298</v>
      </c>
      <c r="G218" s="21" t="s">
        <v>1305</v>
      </c>
      <c r="H218" s="21" t="s">
        <v>1316</v>
      </c>
      <c r="I218" s="22">
        <f>DATE(2021,4,23)</f>
        <v>44309</v>
      </c>
      <c r="J218" s="22">
        <f>DATE(2021,4,23)</f>
        <v>44309</v>
      </c>
      <c r="K218" s="22">
        <f>DATE(2026,4,23)</f>
        <v>46135</v>
      </c>
      <c r="L218" s="21" t="s">
        <v>1301</v>
      </c>
      <c r="M218" s="21" t="s">
        <v>1302</v>
      </c>
    </row>
    <row r="219" spans="1:13" x14ac:dyDescent="0.25">
      <c r="A219" s="21" t="s">
        <v>1755</v>
      </c>
      <c r="B219" s="21" t="s">
        <v>1756</v>
      </c>
      <c r="C219" s="21" t="s">
        <v>1296</v>
      </c>
      <c r="D219" s="21" t="s">
        <v>1297</v>
      </c>
      <c r="E219" s="21" t="s">
        <v>1379</v>
      </c>
      <c r="F219" s="21" t="s">
        <v>1298</v>
      </c>
      <c r="G219" s="21" t="s">
        <v>1305</v>
      </c>
      <c r="H219" s="21" t="s">
        <v>1300</v>
      </c>
      <c r="I219" s="22">
        <f>DATE(2019,12,19)</f>
        <v>43818</v>
      </c>
      <c r="J219" s="22">
        <f>DATE(2019,12,19)</f>
        <v>43818</v>
      </c>
      <c r="K219" s="22">
        <f>DATE(2024,12,19)</f>
        <v>45645</v>
      </c>
      <c r="L219" s="21" t="s">
        <v>1301</v>
      </c>
      <c r="M219" s="21" t="s">
        <v>1302</v>
      </c>
    </row>
    <row r="220" spans="1:13" x14ac:dyDescent="0.25">
      <c r="A220" s="21" t="s">
        <v>1757</v>
      </c>
      <c r="B220" s="21" t="s">
        <v>1758</v>
      </c>
      <c r="C220" s="21" t="s">
        <v>1296</v>
      </c>
      <c r="D220" s="21" t="s">
        <v>1297</v>
      </c>
      <c r="E220" s="21" t="s">
        <v>1379</v>
      </c>
      <c r="F220" s="21" t="s">
        <v>1298</v>
      </c>
      <c r="G220" s="21" t="s">
        <v>1305</v>
      </c>
      <c r="H220" s="21" t="s">
        <v>1306</v>
      </c>
      <c r="I220" s="22">
        <f>DATE(2024,8,27)</f>
        <v>45531</v>
      </c>
      <c r="J220" s="22">
        <f>DATE(2024,8,27)</f>
        <v>45531</v>
      </c>
      <c r="K220" s="22">
        <f>DATE(2025,7,1)</f>
        <v>45839</v>
      </c>
      <c r="L220" s="21" t="s">
        <v>1307</v>
      </c>
      <c r="M220" s="21" t="s">
        <v>1302</v>
      </c>
    </row>
    <row r="221" spans="1:13" x14ac:dyDescent="0.25">
      <c r="A221" s="21" t="s">
        <v>1759</v>
      </c>
      <c r="B221" s="21" t="s">
        <v>1760</v>
      </c>
      <c r="C221" s="21" t="s">
        <v>1296</v>
      </c>
      <c r="D221" s="21" t="s">
        <v>1297</v>
      </c>
      <c r="E221" s="21" t="s">
        <v>1379</v>
      </c>
      <c r="F221" s="21" t="s">
        <v>1298</v>
      </c>
      <c r="G221" s="21" t="s">
        <v>1305</v>
      </c>
      <c r="H221" s="21" t="s">
        <v>1306</v>
      </c>
      <c r="I221" s="22">
        <f>DATE(2024,3,19)</f>
        <v>45370</v>
      </c>
      <c r="J221" s="22">
        <f>DATE(2024,3,19)</f>
        <v>45370</v>
      </c>
      <c r="K221" s="22">
        <f>DATE(2024,10,14)</f>
        <v>45579</v>
      </c>
      <c r="L221" s="21" t="s">
        <v>1307</v>
      </c>
      <c r="M221" s="21" t="s">
        <v>1302</v>
      </c>
    </row>
    <row r="222" spans="1:13" x14ac:dyDescent="0.25">
      <c r="A222" s="21" t="s">
        <v>1761</v>
      </c>
      <c r="B222" s="21" t="s">
        <v>1762</v>
      </c>
      <c r="C222" s="21" t="s">
        <v>1296</v>
      </c>
      <c r="D222" s="21" t="s">
        <v>1297</v>
      </c>
      <c r="E222" s="21" t="s">
        <v>1379</v>
      </c>
      <c r="F222" s="21" t="s">
        <v>1298</v>
      </c>
      <c r="G222" s="21" t="s">
        <v>1305</v>
      </c>
      <c r="H222" s="21" t="s">
        <v>1306</v>
      </c>
      <c r="I222" s="22">
        <f>DATE(2024,7,1)</f>
        <v>45474</v>
      </c>
      <c r="J222" s="22">
        <f>DATE(2024,7,1)</f>
        <v>45474</v>
      </c>
      <c r="K222" s="22">
        <f>DATE(2025,6,30)</f>
        <v>45838</v>
      </c>
      <c r="L222" s="21" t="s">
        <v>1307</v>
      </c>
      <c r="M222" s="21" t="s">
        <v>1302</v>
      </c>
    </row>
    <row r="223" spans="1:13" x14ac:dyDescent="0.25">
      <c r="A223" s="21" t="s">
        <v>1763</v>
      </c>
      <c r="B223" s="21" t="s">
        <v>1764</v>
      </c>
      <c r="C223" s="21" t="s">
        <v>1296</v>
      </c>
      <c r="D223" s="21" t="s">
        <v>1297</v>
      </c>
      <c r="E223" s="21" t="s">
        <v>1379</v>
      </c>
      <c r="F223" s="21" t="s">
        <v>1298</v>
      </c>
      <c r="G223" s="21" t="s">
        <v>1299</v>
      </c>
      <c r="H223" s="21" t="s">
        <v>1300</v>
      </c>
      <c r="I223" s="22">
        <f>DATE(2020,9,28)</f>
        <v>44102</v>
      </c>
      <c r="J223" s="22">
        <f>DATE(2020,9,28)</f>
        <v>44102</v>
      </c>
      <c r="K223" s="22">
        <f>DATE(2025,9,28)</f>
        <v>45928</v>
      </c>
      <c r="L223" s="21" t="s">
        <v>1301</v>
      </c>
      <c r="M223" s="21" t="s">
        <v>1302</v>
      </c>
    </row>
    <row r="224" spans="1:13" x14ac:dyDescent="0.25">
      <c r="A224" s="21" t="s">
        <v>1765</v>
      </c>
      <c r="B224" s="21" t="s">
        <v>1766</v>
      </c>
      <c r="C224" s="21" t="s">
        <v>1296</v>
      </c>
      <c r="D224" s="21" t="s">
        <v>1297</v>
      </c>
      <c r="E224" s="21" t="s">
        <v>1379</v>
      </c>
      <c r="F224" s="21" t="s">
        <v>1298</v>
      </c>
      <c r="G224" s="21" t="s">
        <v>1305</v>
      </c>
      <c r="H224" s="21" t="s">
        <v>1300</v>
      </c>
      <c r="I224" s="22">
        <f>DATE(2023,9,22)</f>
        <v>45191</v>
      </c>
      <c r="J224" s="22">
        <f>DATE(2023,9,22)</f>
        <v>45191</v>
      </c>
      <c r="K224" s="22">
        <f>DATE(2028,9,22)</f>
        <v>47018</v>
      </c>
      <c r="L224" s="21" t="s">
        <v>1307</v>
      </c>
      <c r="M224" s="21" t="s">
        <v>1302</v>
      </c>
    </row>
    <row r="225" spans="1:13" x14ac:dyDescent="0.25">
      <c r="A225" s="21" t="s">
        <v>1767</v>
      </c>
      <c r="B225" s="21" t="s">
        <v>1768</v>
      </c>
      <c r="C225" s="21" t="s">
        <v>1296</v>
      </c>
      <c r="D225" s="21" t="s">
        <v>1297</v>
      </c>
      <c r="E225" s="21" t="s">
        <v>1379</v>
      </c>
      <c r="F225" s="21" t="s">
        <v>1298</v>
      </c>
      <c r="G225" s="21" t="s">
        <v>1305</v>
      </c>
      <c r="H225" s="21" t="s">
        <v>1316</v>
      </c>
      <c r="I225" s="22">
        <f>DATE(2020,7,13)</f>
        <v>44025</v>
      </c>
      <c r="J225" s="22">
        <f>DATE(2020,7,13)</f>
        <v>44025</v>
      </c>
      <c r="K225" s="22">
        <f>DATE(2025,7,13)</f>
        <v>45851</v>
      </c>
      <c r="L225" s="21" t="s">
        <v>1301</v>
      </c>
      <c r="M225" s="21" t="s">
        <v>1302</v>
      </c>
    </row>
    <row r="226" spans="1:13" x14ac:dyDescent="0.25">
      <c r="A226" s="21" t="s">
        <v>1769</v>
      </c>
      <c r="B226" s="21" t="s">
        <v>1770</v>
      </c>
      <c r="C226" s="21" t="s">
        <v>1296</v>
      </c>
      <c r="D226" s="21" t="s">
        <v>1297</v>
      </c>
      <c r="E226" s="21" t="s">
        <v>1379</v>
      </c>
      <c r="F226" s="21" t="s">
        <v>1298</v>
      </c>
      <c r="G226" s="21" t="s">
        <v>1299</v>
      </c>
      <c r="H226" s="21" t="s">
        <v>1306</v>
      </c>
      <c r="I226" s="22">
        <f>DATE(2024,6,10)</f>
        <v>45453</v>
      </c>
      <c r="J226" s="22">
        <f>DATE(2024,6,17)</f>
        <v>45460</v>
      </c>
      <c r="K226" s="22">
        <f>DATE(2025,6,13)</f>
        <v>45821</v>
      </c>
      <c r="L226" s="21" t="s">
        <v>1307</v>
      </c>
      <c r="M226" s="21" t="s">
        <v>1302</v>
      </c>
    </row>
    <row r="227" spans="1:13" x14ac:dyDescent="0.25">
      <c r="A227" s="21" t="s">
        <v>1771</v>
      </c>
      <c r="B227" s="21" t="s">
        <v>1772</v>
      </c>
      <c r="C227" s="21" t="s">
        <v>1296</v>
      </c>
      <c r="D227" s="21" t="s">
        <v>1297</v>
      </c>
      <c r="E227" s="21" t="s">
        <v>1379</v>
      </c>
      <c r="F227" s="21" t="s">
        <v>1298</v>
      </c>
      <c r="G227" s="21" t="s">
        <v>1299</v>
      </c>
      <c r="H227" s="21" t="s">
        <v>1316</v>
      </c>
      <c r="I227" s="22">
        <f>DATE(2021,12,20)</f>
        <v>44550</v>
      </c>
      <c r="J227" s="22">
        <f>DATE(2021,12,20)</f>
        <v>44550</v>
      </c>
      <c r="K227" s="22">
        <f>DATE(2026,12,20)</f>
        <v>46376</v>
      </c>
      <c r="L227" s="21" t="s">
        <v>1301</v>
      </c>
      <c r="M227" s="21" t="s">
        <v>1302</v>
      </c>
    </row>
    <row r="228" spans="1:13" x14ac:dyDescent="0.25">
      <c r="A228" s="21" t="s">
        <v>1773</v>
      </c>
      <c r="B228" s="21" t="s">
        <v>1774</v>
      </c>
      <c r="C228" s="21" t="s">
        <v>1296</v>
      </c>
      <c r="D228" s="21" t="s">
        <v>1297</v>
      </c>
      <c r="E228" s="21" t="s">
        <v>1379</v>
      </c>
      <c r="F228" s="21" t="s">
        <v>1298</v>
      </c>
      <c r="G228" s="21" t="s">
        <v>1305</v>
      </c>
      <c r="H228" s="21" t="s">
        <v>1300</v>
      </c>
      <c r="I228" s="22">
        <f>DATE(2023,11,1)</f>
        <v>45231</v>
      </c>
      <c r="J228" s="22">
        <f>DATE(2023,11,1)</f>
        <v>45231</v>
      </c>
      <c r="K228" s="22">
        <f>DATE(2028,11,1)</f>
        <v>47058</v>
      </c>
      <c r="L228" s="21" t="s">
        <v>1307</v>
      </c>
      <c r="M228" s="21" t="s">
        <v>1302</v>
      </c>
    </row>
    <row r="229" spans="1:13" x14ac:dyDescent="0.25">
      <c r="A229" s="21" t="s">
        <v>1775</v>
      </c>
      <c r="B229" s="21" t="s">
        <v>1776</v>
      </c>
      <c r="C229" s="21" t="s">
        <v>1296</v>
      </c>
      <c r="D229" s="21" t="s">
        <v>1297</v>
      </c>
      <c r="E229" s="21" t="s">
        <v>1379</v>
      </c>
      <c r="F229" s="21" t="s">
        <v>1298</v>
      </c>
      <c r="G229" s="21" t="s">
        <v>1299</v>
      </c>
      <c r="H229" s="21" t="s">
        <v>1386</v>
      </c>
      <c r="I229" s="22">
        <f>DATE(2021,10,12)</f>
        <v>44481</v>
      </c>
      <c r="J229" s="22">
        <f>DATE(2021,10,12)</f>
        <v>44481</v>
      </c>
      <c r="K229" s="22">
        <f>DATE(2026,10,12)</f>
        <v>46307</v>
      </c>
      <c r="L229" s="21" t="s">
        <v>1301</v>
      </c>
      <c r="M229" s="21" t="s">
        <v>1302</v>
      </c>
    </row>
    <row r="230" spans="1:13" x14ac:dyDescent="0.25">
      <c r="A230" s="21" t="s">
        <v>1777</v>
      </c>
      <c r="B230" s="21" t="s">
        <v>1778</v>
      </c>
      <c r="C230" s="21" t="s">
        <v>1296</v>
      </c>
      <c r="D230" s="21" t="s">
        <v>1297</v>
      </c>
      <c r="E230" s="21" t="s">
        <v>1379</v>
      </c>
      <c r="F230" s="21" t="s">
        <v>1298</v>
      </c>
      <c r="G230" s="21" t="s">
        <v>1305</v>
      </c>
      <c r="H230" s="21" t="s">
        <v>1300</v>
      </c>
      <c r="I230" s="22">
        <f>DATE(2019,12,3)</f>
        <v>43802</v>
      </c>
      <c r="J230" s="22">
        <f>DATE(2019,12,3)</f>
        <v>43802</v>
      </c>
      <c r="K230" s="22">
        <f>DATE(2024,12,3)</f>
        <v>45629</v>
      </c>
      <c r="L230" s="21" t="s">
        <v>1301</v>
      </c>
      <c r="M230" s="21" t="s">
        <v>1302</v>
      </c>
    </row>
    <row r="231" spans="1:13" x14ac:dyDescent="0.25">
      <c r="A231" s="21" t="s">
        <v>1779</v>
      </c>
      <c r="B231" s="21" t="s">
        <v>1780</v>
      </c>
      <c r="C231" s="21" t="s">
        <v>1296</v>
      </c>
      <c r="D231" s="21" t="s">
        <v>1297</v>
      </c>
      <c r="E231" s="21" t="s">
        <v>1379</v>
      </c>
      <c r="F231" s="21" t="s">
        <v>1298</v>
      </c>
      <c r="G231" s="21" t="s">
        <v>1305</v>
      </c>
      <c r="H231" s="21" t="s">
        <v>1316</v>
      </c>
      <c r="I231" s="22">
        <f>DATE(2024,7,30)</f>
        <v>45503</v>
      </c>
      <c r="J231" s="22">
        <f>DATE(2024,7,30)</f>
        <v>45503</v>
      </c>
      <c r="K231" s="22">
        <f>DATE(2029,7,30)</f>
        <v>47329</v>
      </c>
      <c r="L231" s="21" t="s">
        <v>1307</v>
      </c>
      <c r="M231" s="21" t="s">
        <v>1302</v>
      </c>
    </row>
    <row r="232" spans="1:13" x14ac:dyDescent="0.25">
      <c r="A232" s="21" t="s">
        <v>1781</v>
      </c>
      <c r="B232" s="21" t="s">
        <v>1782</v>
      </c>
      <c r="C232" s="21" t="s">
        <v>1296</v>
      </c>
      <c r="D232" s="21" t="s">
        <v>1297</v>
      </c>
      <c r="E232" s="21" t="s">
        <v>1379</v>
      </c>
      <c r="F232" s="21" t="s">
        <v>1298</v>
      </c>
      <c r="G232" s="21" t="s">
        <v>1305</v>
      </c>
      <c r="H232" s="21" t="s">
        <v>1300</v>
      </c>
      <c r="I232" s="22">
        <f>DATE(2020,2,18)</f>
        <v>43879</v>
      </c>
      <c r="J232" s="22">
        <f>DATE(2020,2,18)</f>
        <v>43879</v>
      </c>
      <c r="K232" s="22">
        <f>DATE(2025,2,18)</f>
        <v>45706</v>
      </c>
      <c r="L232" s="21" t="s">
        <v>1301</v>
      </c>
      <c r="M232" s="21" t="s">
        <v>1302</v>
      </c>
    </row>
    <row r="233" spans="1:13" x14ac:dyDescent="0.25">
      <c r="A233" s="21" t="s">
        <v>1783</v>
      </c>
      <c r="B233" s="21" t="s">
        <v>1784</v>
      </c>
      <c r="C233" s="21" t="s">
        <v>1296</v>
      </c>
      <c r="D233" s="21" t="s">
        <v>1297</v>
      </c>
      <c r="E233" s="21" t="s">
        <v>1379</v>
      </c>
      <c r="F233" s="21" t="s">
        <v>1298</v>
      </c>
      <c r="G233" s="21" t="s">
        <v>1305</v>
      </c>
      <c r="H233" s="21" t="s">
        <v>1300</v>
      </c>
      <c r="I233" s="22">
        <f>DATE(2020,3,5)</f>
        <v>43895</v>
      </c>
      <c r="J233" s="22">
        <f>DATE(2020,3,5)</f>
        <v>43895</v>
      </c>
      <c r="K233" s="22">
        <f>DATE(2025,3,5)</f>
        <v>45721</v>
      </c>
      <c r="L233" s="21" t="s">
        <v>1301</v>
      </c>
      <c r="M233" s="21" t="s">
        <v>1302</v>
      </c>
    </row>
    <row r="234" spans="1:13" x14ac:dyDescent="0.25">
      <c r="A234" s="21" t="s">
        <v>1785</v>
      </c>
      <c r="B234" s="21" t="s">
        <v>1786</v>
      </c>
      <c r="C234" s="21" t="s">
        <v>1296</v>
      </c>
      <c r="D234" s="21" t="s">
        <v>1297</v>
      </c>
      <c r="E234" s="21" t="s">
        <v>1379</v>
      </c>
      <c r="F234" s="21" t="s">
        <v>1298</v>
      </c>
      <c r="G234" s="21" t="s">
        <v>1305</v>
      </c>
      <c r="H234" s="21" t="s">
        <v>1306</v>
      </c>
      <c r="I234" s="22">
        <f>DATE(2024,8,28)</f>
        <v>45532</v>
      </c>
      <c r="J234" s="22">
        <f>DATE(2024,8,28)</f>
        <v>45532</v>
      </c>
      <c r="K234" s="22">
        <f>DATE(2025,8,1)</f>
        <v>45870</v>
      </c>
      <c r="L234" s="21" t="s">
        <v>1307</v>
      </c>
      <c r="M234" s="21" t="s">
        <v>1302</v>
      </c>
    </row>
    <row r="235" spans="1:13" x14ac:dyDescent="0.25">
      <c r="A235" s="21" t="s">
        <v>1787</v>
      </c>
      <c r="B235" s="21" t="s">
        <v>1788</v>
      </c>
      <c r="C235" s="21" t="s">
        <v>1296</v>
      </c>
      <c r="D235" s="21" t="s">
        <v>1297</v>
      </c>
      <c r="E235" s="21" t="s">
        <v>1379</v>
      </c>
      <c r="F235" s="21" t="s">
        <v>1298</v>
      </c>
      <c r="G235" s="21" t="s">
        <v>1305</v>
      </c>
      <c r="H235" s="21" t="s">
        <v>1316</v>
      </c>
      <c r="I235" s="22">
        <f>DATE(2024,7,10)</f>
        <v>45483</v>
      </c>
      <c r="J235" s="22">
        <f>DATE(2024,7,10)</f>
        <v>45483</v>
      </c>
      <c r="K235" s="22">
        <f>DATE(2029,7,10)</f>
        <v>47309</v>
      </c>
      <c r="L235" s="21" t="s">
        <v>1307</v>
      </c>
      <c r="M235" s="21" t="s">
        <v>1302</v>
      </c>
    </row>
    <row r="236" spans="1:13" x14ac:dyDescent="0.25">
      <c r="A236" s="21" t="s">
        <v>1789</v>
      </c>
      <c r="B236" s="21" t="s">
        <v>1790</v>
      </c>
      <c r="C236" s="21" t="s">
        <v>1296</v>
      </c>
      <c r="D236" s="21" t="s">
        <v>1297</v>
      </c>
      <c r="E236" s="21" t="s">
        <v>1379</v>
      </c>
      <c r="F236" s="21" t="s">
        <v>1298</v>
      </c>
      <c r="G236" s="21" t="s">
        <v>1305</v>
      </c>
      <c r="H236" s="21" t="s">
        <v>1300</v>
      </c>
      <c r="I236" s="22">
        <f>DATE(2020,3,4)</f>
        <v>43894</v>
      </c>
      <c r="J236" s="22">
        <f>DATE(2020,3,4)</f>
        <v>43894</v>
      </c>
      <c r="K236" s="22">
        <f>DATE(2025,3,4)</f>
        <v>45720</v>
      </c>
      <c r="L236" s="21" t="s">
        <v>1301</v>
      </c>
      <c r="M236" s="21" t="s">
        <v>1302</v>
      </c>
    </row>
    <row r="237" spans="1:13" x14ac:dyDescent="0.25">
      <c r="A237" s="21" t="s">
        <v>1791</v>
      </c>
      <c r="B237" s="21" t="s">
        <v>1792</v>
      </c>
      <c r="C237" s="21" t="s">
        <v>1296</v>
      </c>
      <c r="D237" s="21" t="s">
        <v>1793</v>
      </c>
      <c r="E237" s="21" t="s">
        <v>1379</v>
      </c>
      <c r="F237" s="21" t="s">
        <v>1298</v>
      </c>
      <c r="G237" s="21" t="s">
        <v>1305</v>
      </c>
      <c r="H237" s="21" t="s">
        <v>1316</v>
      </c>
      <c r="I237" s="22">
        <f>DATE(2024,2,13)</f>
        <v>45335</v>
      </c>
      <c r="J237" s="22">
        <f>DATE(2024,2,13)</f>
        <v>45335</v>
      </c>
      <c r="K237" s="22">
        <f>DATE(2029,2,6)</f>
        <v>47155</v>
      </c>
      <c r="L237" s="21" t="s">
        <v>1307</v>
      </c>
      <c r="M237" s="21" t="s">
        <v>1302</v>
      </c>
    </row>
    <row r="238" spans="1:13" x14ac:dyDescent="0.25">
      <c r="A238" s="21" t="s">
        <v>1794</v>
      </c>
      <c r="B238" s="21" t="s">
        <v>1795</v>
      </c>
      <c r="C238" s="21" t="s">
        <v>1296</v>
      </c>
      <c r="D238" s="21" t="s">
        <v>1297</v>
      </c>
      <c r="E238" s="21" t="s">
        <v>1379</v>
      </c>
      <c r="F238" s="21" t="s">
        <v>1298</v>
      </c>
      <c r="G238" s="21" t="s">
        <v>1305</v>
      </c>
      <c r="H238" s="21" t="s">
        <v>1386</v>
      </c>
      <c r="I238" s="22">
        <f>DATE(2023,7,11)</f>
        <v>45118</v>
      </c>
      <c r="J238" s="22">
        <f>DATE(2023,7,11)</f>
        <v>45118</v>
      </c>
      <c r="K238" s="22">
        <f>DATE(2028,7,11)</f>
        <v>46945</v>
      </c>
      <c r="L238" s="21" t="s">
        <v>1301</v>
      </c>
      <c r="M238" s="21" t="s">
        <v>1302</v>
      </c>
    </row>
    <row r="239" spans="1:13" x14ac:dyDescent="0.25">
      <c r="A239" s="21" t="s">
        <v>1796</v>
      </c>
      <c r="B239" s="21" t="s">
        <v>1797</v>
      </c>
      <c r="C239" s="21" t="s">
        <v>1296</v>
      </c>
      <c r="D239" s="21" t="s">
        <v>1297</v>
      </c>
      <c r="E239" s="21" t="s">
        <v>1379</v>
      </c>
      <c r="F239" s="21" t="s">
        <v>1298</v>
      </c>
      <c r="G239" s="21" t="s">
        <v>1305</v>
      </c>
      <c r="H239" s="21" t="s">
        <v>1297</v>
      </c>
      <c r="I239" s="22">
        <f t="shared" ref="I239:K240" si="10">DATE(1900,1,1)</f>
        <v>1</v>
      </c>
      <c r="J239" s="22">
        <f t="shared" si="10"/>
        <v>1</v>
      </c>
      <c r="K239" s="22">
        <f t="shared" si="10"/>
        <v>1</v>
      </c>
      <c r="L239" s="21" t="s">
        <v>1297</v>
      </c>
      <c r="M239" s="21" t="s">
        <v>1302</v>
      </c>
    </row>
    <row r="240" spans="1:13" x14ac:dyDescent="0.25">
      <c r="A240" s="21" t="s">
        <v>1798</v>
      </c>
      <c r="B240" s="21" t="s">
        <v>1799</v>
      </c>
      <c r="C240" s="21" t="s">
        <v>1296</v>
      </c>
      <c r="D240" s="21" t="s">
        <v>1297</v>
      </c>
      <c r="E240" s="21" t="s">
        <v>1379</v>
      </c>
      <c r="F240" s="21" t="s">
        <v>1298</v>
      </c>
      <c r="G240" s="21" t="s">
        <v>1297</v>
      </c>
      <c r="H240" s="21" t="s">
        <v>1297</v>
      </c>
      <c r="I240" s="22">
        <f t="shared" si="10"/>
        <v>1</v>
      </c>
      <c r="J240" s="22">
        <f t="shared" si="10"/>
        <v>1</v>
      </c>
      <c r="K240" s="22">
        <f t="shared" si="10"/>
        <v>1</v>
      </c>
      <c r="L240" s="21" t="s">
        <v>1297</v>
      </c>
      <c r="M240" s="21" t="s">
        <v>1302</v>
      </c>
    </row>
    <row r="241" spans="1:13" x14ac:dyDescent="0.25">
      <c r="A241" s="21" t="s">
        <v>1800</v>
      </c>
      <c r="B241" s="21" t="s">
        <v>1801</v>
      </c>
      <c r="C241" s="21" t="s">
        <v>1296</v>
      </c>
      <c r="D241" s="21" t="s">
        <v>1297</v>
      </c>
      <c r="E241" s="21" t="s">
        <v>1379</v>
      </c>
      <c r="F241" s="21" t="s">
        <v>1298</v>
      </c>
      <c r="G241" s="21" t="s">
        <v>1305</v>
      </c>
      <c r="H241" s="21" t="s">
        <v>1316</v>
      </c>
      <c r="I241" s="22">
        <f>DATE(2020,3,12)</f>
        <v>43902</v>
      </c>
      <c r="J241" s="22">
        <f>DATE(2020,3,12)</f>
        <v>43902</v>
      </c>
      <c r="K241" s="22">
        <f>DATE(2025,3,12)</f>
        <v>45728</v>
      </c>
      <c r="L241" s="21" t="s">
        <v>1301</v>
      </c>
      <c r="M241" s="21" t="s">
        <v>1302</v>
      </c>
    </row>
    <row r="242" spans="1:13" x14ac:dyDescent="0.25">
      <c r="A242" s="21" t="s">
        <v>1802</v>
      </c>
      <c r="B242" s="21" t="s">
        <v>1803</v>
      </c>
      <c r="C242" s="21" t="s">
        <v>1296</v>
      </c>
      <c r="D242" s="21" t="s">
        <v>1297</v>
      </c>
      <c r="E242" s="21" t="s">
        <v>1379</v>
      </c>
      <c r="F242" s="21" t="s">
        <v>1298</v>
      </c>
      <c r="G242" s="21" t="s">
        <v>1305</v>
      </c>
      <c r="H242" s="21" t="s">
        <v>1306</v>
      </c>
      <c r="I242" s="22">
        <f>DATE(2024,7,1)</f>
        <v>45474</v>
      </c>
      <c r="J242" s="22">
        <f>DATE(2024,7,1)</f>
        <v>45474</v>
      </c>
      <c r="K242" s="22">
        <f>DATE(2025,6,30)</f>
        <v>45838</v>
      </c>
      <c r="L242" s="21" t="s">
        <v>1307</v>
      </c>
      <c r="M242" s="21" t="s">
        <v>1302</v>
      </c>
    </row>
    <row r="243" spans="1:13" x14ac:dyDescent="0.25">
      <c r="A243" s="21" t="s">
        <v>1804</v>
      </c>
      <c r="B243" s="21" t="s">
        <v>1805</v>
      </c>
      <c r="C243" s="21" t="s">
        <v>1296</v>
      </c>
      <c r="D243" s="21" t="s">
        <v>1297</v>
      </c>
      <c r="E243" s="21" t="s">
        <v>1379</v>
      </c>
      <c r="F243" s="21" t="s">
        <v>1298</v>
      </c>
      <c r="G243" s="21" t="s">
        <v>1305</v>
      </c>
      <c r="H243" s="21" t="s">
        <v>1306</v>
      </c>
      <c r="I243" s="22">
        <f>DATE(2024,7,1)</f>
        <v>45474</v>
      </c>
      <c r="J243" s="22">
        <f>DATE(2024,7,1)</f>
        <v>45474</v>
      </c>
      <c r="K243" s="22">
        <f>DATE(2025,6,30)</f>
        <v>45838</v>
      </c>
      <c r="L243" s="21" t="s">
        <v>1307</v>
      </c>
      <c r="M243" s="21" t="s">
        <v>1302</v>
      </c>
    </row>
    <row r="244" spans="1:13" x14ac:dyDescent="0.25">
      <c r="A244" s="21" t="s">
        <v>1806</v>
      </c>
      <c r="B244" s="21" t="s">
        <v>1807</v>
      </c>
      <c r="C244" s="21" t="s">
        <v>1296</v>
      </c>
      <c r="D244" s="21" t="s">
        <v>1297</v>
      </c>
      <c r="E244" s="21" t="s">
        <v>1379</v>
      </c>
      <c r="F244" s="21" t="s">
        <v>1298</v>
      </c>
      <c r="G244" s="21" t="s">
        <v>1305</v>
      </c>
      <c r="H244" s="21" t="s">
        <v>1300</v>
      </c>
      <c r="I244" s="22">
        <f>DATE(2020,2,13)</f>
        <v>43874</v>
      </c>
      <c r="J244" s="22">
        <f>DATE(2020,2,13)</f>
        <v>43874</v>
      </c>
      <c r="K244" s="22">
        <f>DATE(2025,2,13)</f>
        <v>45701</v>
      </c>
      <c r="L244" s="21" t="s">
        <v>1301</v>
      </c>
      <c r="M244" s="21" t="s">
        <v>1302</v>
      </c>
    </row>
    <row r="245" spans="1:13" x14ac:dyDescent="0.25">
      <c r="A245" s="21" t="s">
        <v>1808</v>
      </c>
      <c r="B245" s="21" t="s">
        <v>1809</v>
      </c>
      <c r="C245" s="21" t="s">
        <v>1296</v>
      </c>
      <c r="D245" s="21" t="s">
        <v>1297</v>
      </c>
      <c r="E245" s="21" t="s">
        <v>1379</v>
      </c>
      <c r="F245" s="21" t="s">
        <v>1298</v>
      </c>
      <c r="G245" s="21" t="s">
        <v>1305</v>
      </c>
      <c r="H245" s="21" t="s">
        <v>1300</v>
      </c>
      <c r="I245" s="22">
        <f>DATE(2019,12,4)</f>
        <v>43803</v>
      </c>
      <c r="J245" s="22">
        <f>DATE(2019,12,4)</f>
        <v>43803</v>
      </c>
      <c r="K245" s="22">
        <f>DATE(2021,12,4)</f>
        <v>44534</v>
      </c>
      <c r="L245" s="21" t="s">
        <v>1301</v>
      </c>
      <c r="M245" s="21" t="s">
        <v>1302</v>
      </c>
    </row>
    <row r="246" spans="1:13" x14ac:dyDescent="0.25">
      <c r="A246" s="21" t="s">
        <v>1810</v>
      </c>
      <c r="B246" s="21" t="s">
        <v>1811</v>
      </c>
      <c r="C246" s="21" t="s">
        <v>1296</v>
      </c>
      <c r="D246" s="21" t="s">
        <v>1297</v>
      </c>
      <c r="E246" s="21" t="s">
        <v>1379</v>
      </c>
      <c r="F246" s="21" t="s">
        <v>1298</v>
      </c>
      <c r="G246" s="21" t="s">
        <v>1305</v>
      </c>
      <c r="H246" s="21" t="s">
        <v>1316</v>
      </c>
      <c r="I246" s="22">
        <f>DATE(2023,7,12)</f>
        <v>45119</v>
      </c>
      <c r="J246" s="22">
        <f>DATE(2023,7,12)</f>
        <v>45119</v>
      </c>
      <c r="K246" s="22">
        <f>DATE(2028,7,12)</f>
        <v>46946</v>
      </c>
      <c r="L246" s="21" t="s">
        <v>1301</v>
      </c>
      <c r="M246" s="21" t="s">
        <v>1302</v>
      </c>
    </row>
    <row r="247" spans="1:13" x14ac:dyDescent="0.25">
      <c r="A247" s="21" t="s">
        <v>1812</v>
      </c>
      <c r="B247" s="21" t="s">
        <v>1813</v>
      </c>
      <c r="C247" s="21" t="s">
        <v>1296</v>
      </c>
      <c r="D247" s="21" t="s">
        <v>1297</v>
      </c>
      <c r="E247" s="21" t="s">
        <v>1379</v>
      </c>
      <c r="F247" s="21" t="s">
        <v>1298</v>
      </c>
      <c r="G247" s="21" t="s">
        <v>1305</v>
      </c>
      <c r="H247" s="21" t="s">
        <v>1316</v>
      </c>
      <c r="I247" s="22">
        <f>DATE(2020,7,23)</f>
        <v>44035</v>
      </c>
      <c r="J247" s="22">
        <f>DATE(2020,7,23)</f>
        <v>44035</v>
      </c>
      <c r="K247" s="22">
        <f>DATE(2025,7,23)</f>
        <v>45861</v>
      </c>
      <c r="L247" s="21" t="s">
        <v>1301</v>
      </c>
      <c r="M247" s="21" t="s">
        <v>1302</v>
      </c>
    </row>
    <row r="248" spans="1:13" x14ac:dyDescent="0.25">
      <c r="A248" s="21" t="s">
        <v>1814</v>
      </c>
      <c r="B248" s="21" t="s">
        <v>1815</v>
      </c>
      <c r="C248" s="21" t="s">
        <v>1296</v>
      </c>
      <c r="D248" s="21" t="s">
        <v>1297</v>
      </c>
      <c r="E248" s="21" t="s">
        <v>1379</v>
      </c>
      <c r="F248" s="21" t="s">
        <v>1298</v>
      </c>
      <c r="G248" s="21" t="s">
        <v>1305</v>
      </c>
      <c r="H248" s="21" t="s">
        <v>1316</v>
      </c>
      <c r="I248" s="22">
        <f>DATE(2024,1,10)</f>
        <v>45301</v>
      </c>
      <c r="J248" s="22">
        <f>DATE(2024,1,17)</f>
        <v>45308</v>
      </c>
      <c r="K248" s="22">
        <f>DATE(2029,1,17)</f>
        <v>47135</v>
      </c>
      <c r="L248" s="21" t="s">
        <v>1307</v>
      </c>
      <c r="M248" s="21" t="s">
        <v>1302</v>
      </c>
    </row>
    <row r="249" spans="1:13" x14ac:dyDescent="0.25">
      <c r="A249" s="21" t="s">
        <v>1816</v>
      </c>
      <c r="B249" s="21" t="s">
        <v>1817</v>
      </c>
      <c r="C249" s="21" t="s">
        <v>1296</v>
      </c>
      <c r="D249" s="21" t="s">
        <v>1297</v>
      </c>
      <c r="E249" s="21" t="s">
        <v>1379</v>
      </c>
      <c r="F249" s="21" t="s">
        <v>1298</v>
      </c>
      <c r="G249" s="21" t="s">
        <v>1305</v>
      </c>
      <c r="H249" s="21" t="s">
        <v>1386</v>
      </c>
      <c r="I249" s="22">
        <f>DATE(2024,11,19)</f>
        <v>45615</v>
      </c>
      <c r="J249" s="22">
        <f>DATE(2024,11,19)</f>
        <v>45615</v>
      </c>
      <c r="K249" s="22">
        <f>DATE(2029,11,19)</f>
        <v>47441</v>
      </c>
      <c r="L249" s="21" t="s">
        <v>1307</v>
      </c>
      <c r="M249" s="21" t="s">
        <v>1302</v>
      </c>
    </row>
    <row r="250" spans="1:13" x14ac:dyDescent="0.25">
      <c r="A250" s="21" t="s">
        <v>1818</v>
      </c>
      <c r="B250" s="21" t="s">
        <v>1819</v>
      </c>
      <c r="C250" s="21" t="s">
        <v>1296</v>
      </c>
      <c r="D250" s="21" t="s">
        <v>1297</v>
      </c>
      <c r="E250" s="21" t="s">
        <v>1379</v>
      </c>
      <c r="F250" s="21" t="s">
        <v>1298</v>
      </c>
      <c r="G250" s="21" t="s">
        <v>1305</v>
      </c>
      <c r="H250" s="21" t="s">
        <v>1300</v>
      </c>
      <c r="I250" s="22">
        <f>DATE(2020,2,14)</f>
        <v>43875</v>
      </c>
      <c r="J250" s="22">
        <f>DATE(2020,2,14)</f>
        <v>43875</v>
      </c>
      <c r="K250" s="22">
        <f>DATE(2025,2,14)</f>
        <v>45702</v>
      </c>
      <c r="L250" s="21" t="s">
        <v>1301</v>
      </c>
      <c r="M250" s="21" t="s">
        <v>1302</v>
      </c>
    </row>
    <row r="251" spans="1:13" x14ac:dyDescent="0.25">
      <c r="A251" s="21" t="s">
        <v>1820</v>
      </c>
      <c r="B251" s="21" t="s">
        <v>1821</v>
      </c>
      <c r="C251" s="21" t="s">
        <v>1296</v>
      </c>
      <c r="D251" s="21" t="s">
        <v>1297</v>
      </c>
      <c r="E251" s="21" t="s">
        <v>1379</v>
      </c>
      <c r="F251" s="21" t="s">
        <v>1298</v>
      </c>
      <c r="G251" s="21" t="s">
        <v>1299</v>
      </c>
      <c r="H251" s="21" t="s">
        <v>1300</v>
      </c>
      <c r="I251" s="22">
        <f>DATE(2024,1,25)</f>
        <v>45316</v>
      </c>
      <c r="J251" s="22">
        <f>DATE(2024,1,25)</f>
        <v>45316</v>
      </c>
      <c r="K251" s="22">
        <f>DATE(2029,1,29)</f>
        <v>47147</v>
      </c>
      <c r="L251" s="21" t="s">
        <v>1307</v>
      </c>
      <c r="M251" s="21" t="s">
        <v>1302</v>
      </c>
    </row>
    <row r="252" spans="1:13" x14ac:dyDescent="0.25">
      <c r="A252" s="21" t="s">
        <v>1822</v>
      </c>
      <c r="B252" s="21" t="s">
        <v>1823</v>
      </c>
      <c r="C252" s="21" t="s">
        <v>1296</v>
      </c>
      <c r="D252" s="21" t="s">
        <v>1297</v>
      </c>
      <c r="E252" s="21" t="s">
        <v>1379</v>
      </c>
      <c r="F252" s="21" t="s">
        <v>1298</v>
      </c>
      <c r="G252" s="21" t="s">
        <v>1305</v>
      </c>
      <c r="H252" s="21" t="s">
        <v>1306</v>
      </c>
      <c r="I252" s="22">
        <f>DATE(2024,4,15)</f>
        <v>45397</v>
      </c>
      <c r="J252" s="22">
        <f>DATE(2024,4,15)</f>
        <v>45397</v>
      </c>
      <c r="K252" s="22">
        <f>DATE(2025,4,15)</f>
        <v>45762</v>
      </c>
      <c r="L252" s="21" t="s">
        <v>1307</v>
      </c>
      <c r="M252" s="21" t="s">
        <v>1302</v>
      </c>
    </row>
    <row r="253" spans="1:13" x14ac:dyDescent="0.25">
      <c r="A253" s="21" t="s">
        <v>1824</v>
      </c>
      <c r="B253" s="21" t="s">
        <v>1825</v>
      </c>
      <c r="C253" s="21" t="s">
        <v>1296</v>
      </c>
      <c r="D253" s="21" t="s">
        <v>1297</v>
      </c>
      <c r="E253" s="21" t="s">
        <v>1379</v>
      </c>
      <c r="F253" s="21" t="s">
        <v>1298</v>
      </c>
      <c r="G253" s="21" t="s">
        <v>1305</v>
      </c>
      <c r="H253" s="21" t="s">
        <v>1300</v>
      </c>
      <c r="I253" s="22">
        <f>DATE(2020,2,17)</f>
        <v>43878</v>
      </c>
      <c r="J253" s="22">
        <f>DATE(2020,2,17)</f>
        <v>43878</v>
      </c>
      <c r="K253" s="22">
        <f>DATE(2025,2,17)</f>
        <v>45705</v>
      </c>
      <c r="L253" s="21" t="s">
        <v>1301</v>
      </c>
      <c r="M253" s="21" t="s">
        <v>1302</v>
      </c>
    </row>
    <row r="254" spans="1:13" x14ac:dyDescent="0.25">
      <c r="A254" s="21" t="s">
        <v>1826</v>
      </c>
      <c r="B254" s="21" t="s">
        <v>1827</v>
      </c>
      <c r="C254" s="21" t="s">
        <v>1296</v>
      </c>
      <c r="D254" s="21" t="s">
        <v>1297</v>
      </c>
      <c r="E254" s="21" t="s">
        <v>1379</v>
      </c>
      <c r="F254" s="21" t="s">
        <v>1298</v>
      </c>
      <c r="G254" s="21" t="s">
        <v>1305</v>
      </c>
      <c r="H254" s="21" t="s">
        <v>1316</v>
      </c>
      <c r="I254" s="22">
        <f>DATE(2021,1,27)</f>
        <v>44223</v>
      </c>
      <c r="J254" s="22">
        <f>DATE(2021,1,27)</f>
        <v>44223</v>
      </c>
      <c r="K254" s="22">
        <f>DATE(2026,1,27)</f>
        <v>46049</v>
      </c>
      <c r="L254" s="21" t="s">
        <v>1301</v>
      </c>
      <c r="M254" s="21" t="s">
        <v>1302</v>
      </c>
    </row>
    <row r="255" spans="1:13" x14ac:dyDescent="0.25">
      <c r="A255" s="21" t="s">
        <v>1828</v>
      </c>
      <c r="B255" s="21" t="s">
        <v>1829</v>
      </c>
      <c r="C255" s="21" t="s">
        <v>1296</v>
      </c>
      <c r="D255" s="21" t="s">
        <v>1297</v>
      </c>
      <c r="E255" s="21" t="s">
        <v>1379</v>
      </c>
      <c r="F255" s="21" t="s">
        <v>1298</v>
      </c>
      <c r="G255" s="21" t="s">
        <v>1299</v>
      </c>
      <c r="H255" s="21" t="s">
        <v>1386</v>
      </c>
      <c r="I255" s="22">
        <f>DATE(2020,8,24)</f>
        <v>44067</v>
      </c>
      <c r="J255" s="22">
        <f>DATE(2020,8,24)</f>
        <v>44067</v>
      </c>
      <c r="K255" s="22">
        <f>DATE(2025,8,24)</f>
        <v>45893</v>
      </c>
      <c r="L255" s="21" t="s">
        <v>1301</v>
      </c>
      <c r="M255" s="21" t="s">
        <v>1302</v>
      </c>
    </row>
    <row r="256" spans="1:13" x14ac:dyDescent="0.25">
      <c r="A256" s="21" t="s">
        <v>1830</v>
      </c>
      <c r="B256" s="21" t="s">
        <v>1831</v>
      </c>
      <c r="C256" s="21" t="s">
        <v>1296</v>
      </c>
      <c r="D256" s="21" t="s">
        <v>1297</v>
      </c>
      <c r="E256" s="21" t="s">
        <v>1379</v>
      </c>
      <c r="F256" s="21" t="s">
        <v>1298</v>
      </c>
      <c r="G256" s="21" t="s">
        <v>1305</v>
      </c>
      <c r="H256" s="21" t="s">
        <v>1297</v>
      </c>
      <c r="I256" s="22">
        <f>DATE(1900,1,1)</f>
        <v>1</v>
      </c>
      <c r="J256" s="22">
        <f>DATE(1900,1,1)</f>
        <v>1</v>
      </c>
      <c r="K256" s="22">
        <f>DATE(1900,1,1)</f>
        <v>1</v>
      </c>
      <c r="L256" s="21" t="s">
        <v>1297</v>
      </c>
      <c r="M256" s="21" t="s">
        <v>1302</v>
      </c>
    </row>
    <row r="257" spans="1:13" x14ac:dyDescent="0.25">
      <c r="A257" s="21" t="s">
        <v>1832</v>
      </c>
      <c r="B257" s="21" t="s">
        <v>1833</v>
      </c>
      <c r="C257" s="21" t="s">
        <v>1296</v>
      </c>
      <c r="D257" s="21" t="s">
        <v>1297</v>
      </c>
      <c r="E257" s="21" t="s">
        <v>1379</v>
      </c>
      <c r="F257" s="21" t="s">
        <v>1298</v>
      </c>
      <c r="G257" s="21" t="s">
        <v>1299</v>
      </c>
      <c r="H257" s="21" t="s">
        <v>1306</v>
      </c>
      <c r="I257" s="22">
        <f>DATE(2023,11,14)</f>
        <v>45244</v>
      </c>
      <c r="J257" s="22">
        <f>DATE(2023,11,14)</f>
        <v>45244</v>
      </c>
      <c r="K257" s="22">
        <f>DATE(2024,9,27)</f>
        <v>45562</v>
      </c>
      <c r="L257" s="21" t="s">
        <v>1307</v>
      </c>
      <c r="M257" s="21" t="s">
        <v>1302</v>
      </c>
    </row>
    <row r="258" spans="1:13" x14ac:dyDescent="0.25">
      <c r="A258" s="21" t="s">
        <v>1834</v>
      </c>
      <c r="B258" s="21" t="s">
        <v>1835</v>
      </c>
      <c r="C258" s="21" t="s">
        <v>1296</v>
      </c>
      <c r="D258" s="21" t="s">
        <v>1297</v>
      </c>
      <c r="E258" s="21" t="s">
        <v>1379</v>
      </c>
      <c r="F258" s="21" t="s">
        <v>1298</v>
      </c>
      <c r="G258" s="21" t="s">
        <v>1305</v>
      </c>
      <c r="H258" s="21" t="s">
        <v>1316</v>
      </c>
      <c r="I258" s="22">
        <f>DATE(2020,3,2)</f>
        <v>43892</v>
      </c>
      <c r="J258" s="22">
        <f>DATE(2020,3,2)</f>
        <v>43892</v>
      </c>
      <c r="K258" s="22">
        <f>DATE(2025,3,2)</f>
        <v>45718</v>
      </c>
      <c r="L258" s="21" t="s">
        <v>1301</v>
      </c>
      <c r="M258" s="21" t="s">
        <v>1302</v>
      </c>
    </row>
    <row r="259" spans="1:13" x14ac:dyDescent="0.25">
      <c r="A259" s="21" t="s">
        <v>1836</v>
      </c>
      <c r="B259" s="21" t="s">
        <v>1837</v>
      </c>
      <c r="C259" s="21" t="s">
        <v>1296</v>
      </c>
      <c r="D259" s="21" t="s">
        <v>1297</v>
      </c>
      <c r="E259" s="21" t="s">
        <v>1379</v>
      </c>
      <c r="F259" s="21" t="s">
        <v>1298</v>
      </c>
      <c r="G259" s="21" t="s">
        <v>1305</v>
      </c>
      <c r="H259" s="21" t="s">
        <v>1300</v>
      </c>
      <c r="I259" s="22">
        <f>DATE(2020,7,21)</f>
        <v>44033</v>
      </c>
      <c r="J259" s="22">
        <f>DATE(2020,7,21)</f>
        <v>44033</v>
      </c>
      <c r="K259" s="22">
        <f>DATE(2025,7,21)</f>
        <v>45859</v>
      </c>
      <c r="L259" s="21" t="s">
        <v>1301</v>
      </c>
      <c r="M259" s="21" t="s">
        <v>1302</v>
      </c>
    </row>
    <row r="260" spans="1:13" x14ac:dyDescent="0.25">
      <c r="A260" s="21" t="s">
        <v>1838</v>
      </c>
      <c r="B260" s="21" t="s">
        <v>1839</v>
      </c>
      <c r="C260" s="21" t="s">
        <v>1296</v>
      </c>
      <c r="D260" s="21" t="s">
        <v>1297</v>
      </c>
      <c r="E260" s="21" t="s">
        <v>1379</v>
      </c>
      <c r="F260" s="21" t="s">
        <v>1298</v>
      </c>
      <c r="G260" s="21" t="s">
        <v>1305</v>
      </c>
      <c r="H260" s="21" t="s">
        <v>1316</v>
      </c>
      <c r="I260" s="22">
        <f>DATE(2021,7,26)</f>
        <v>44403</v>
      </c>
      <c r="J260" s="22">
        <f>DATE(2021,7,26)</f>
        <v>44403</v>
      </c>
      <c r="K260" s="22">
        <f>DATE(2026,7,26)</f>
        <v>46229</v>
      </c>
      <c r="L260" s="21" t="s">
        <v>1301</v>
      </c>
      <c r="M260" s="21" t="s">
        <v>1302</v>
      </c>
    </row>
    <row r="261" spans="1:13" x14ac:dyDescent="0.25">
      <c r="A261" s="21" t="s">
        <v>1840</v>
      </c>
      <c r="B261" s="21" t="s">
        <v>1841</v>
      </c>
      <c r="C261" s="21" t="s">
        <v>1296</v>
      </c>
      <c r="D261" s="21" t="s">
        <v>1297</v>
      </c>
      <c r="E261" s="21" t="s">
        <v>1379</v>
      </c>
      <c r="F261" s="21" t="s">
        <v>1298</v>
      </c>
      <c r="G261" s="21" t="s">
        <v>1305</v>
      </c>
      <c r="H261" s="21" t="s">
        <v>1300</v>
      </c>
      <c r="I261" s="22">
        <f>DATE(2023,12,13)</f>
        <v>45273</v>
      </c>
      <c r="J261" s="22">
        <f>DATE(2023,12,13)</f>
        <v>45273</v>
      </c>
      <c r="K261" s="22">
        <f>DATE(2028,12,13)</f>
        <v>47100</v>
      </c>
      <c r="L261" s="21" t="s">
        <v>1307</v>
      </c>
      <c r="M261" s="21" t="s">
        <v>1302</v>
      </c>
    </row>
    <row r="262" spans="1:13" x14ac:dyDescent="0.25">
      <c r="A262" s="21" t="s">
        <v>1842</v>
      </c>
      <c r="B262" s="21" t="s">
        <v>1843</v>
      </c>
      <c r="C262" s="21" t="s">
        <v>1296</v>
      </c>
      <c r="D262" s="21" t="s">
        <v>1297</v>
      </c>
      <c r="E262" s="21" t="s">
        <v>1379</v>
      </c>
      <c r="F262" s="21" t="s">
        <v>1298</v>
      </c>
      <c r="G262" s="21" t="s">
        <v>1305</v>
      </c>
      <c r="H262" s="21" t="s">
        <v>1306</v>
      </c>
      <c r="I262" s="22">
        <f>DATE(2024,4,11)</f>
        <v>45393</v>
      </c>
      <c r="J262" s="22">
        <f>DATE(2024,4,11)</f>
        <v>45393</v>
      </c>
      <c r="K262" s="22">
        <f>DATE(2024,8,19)</f>
        <v>45523</v>
      </c>
      <c r="L262" s="21" t="s">
        <v>1307</v>
      </c>
      <c r="M262" s="21" t="s">
        <v>1302</v>
      </c>
    </row>
    <row r="263" spans="1:13" x14ac:dyDescent="0.25">
      <c r="A263" s="21" t="s">
        <v>1844</v>
      </c>
      <c r="B263" s="21" t="s">
        <v>1845</v>
      </c>
      <c r="C263" s="21" t="s">
        <v>1296</v>
      </c>
      <c r="D263" s="21" t="s">
        <v>1297</v>
      </c>
      <c r="E263" s="21" t="s">
        <v>1379</v>
      </c>
      <c r="F263" s="21" t="s">
        <v>1298</v>
      </c>
      <c r="G263" s="21" t="s">
        <v>1305</v>
      </c>
      <c r="H263" s="21" t="s">
        <v>1386</v>
      </c>
      <c r="I263" s="22">
        <f>DATE(2023,11,21)</f>
        <v>45251</v>
      </c>
      <c r="J263" s="22">
        <f>DATE(2023,11,21)</f>
        <v>45251</v>
      </c>
      <c r="K263" s="22">
        <f>DATE(2028,11,21)</f>
        <v>47078</v>
      </c>
      <c r="L263" s="21" t="s">
        <v>1307</v>
      </c>
      <c r="M263" s="21" t="s">
        <v>1302</v>
      </c>
    </row>
    <row r="264" spans="1:13" x14ac:dyDescent="0.25">
      <c r="A264" s="21" t="s">
        <v>1846</v>
      </c>
      <c r="B264" s="21" t="s">
        <v>1847</v>
      </c>
      <c r="C264" s="21" t="s">
        <v>1296</v>
      </c>
      <c r="D264" s="21" t="s">
        <v>1297</v>
      </c>
      <c r="E264" s="21" t="s">
        <v>1379</v>
      </c>
      <c r="F264" s="21" t="s">
        <v>1298</v>
      </c>
      <c r="G264" s="21" t="s">
        <v>1299</v>
      </c>
      <c r="H264" s="21" t="s">
        <v>1306</v>
      </c>
      <c r="I264" s="22">
        <f>DATE(2024,4,15)</f>
        <v>45397</v>
      </c>
      <c r="J264" s="22">
        <f>DATE(2024,4,8)</f>
        <v>45390</v>
      </c>
      <c r="K264" s="22">
        <f>DATE(2026,2,13)</f>
        <v>46066</v>
      </c>
      <c r="L264" s="21" t="s">
        <v>1307</v>
      </c>
      <c r="M264" s="21" t="s">
        <v>1302</v>
      </c>
    </row>
    <row r="265" spans="1:13" x14ac:dyDescent="0.25">
      <c r="A265" s="21" t="s">
        <v>1848</v>
      </c>
      <c r="B265" s="21" t="s">
        <v>1849</v>
      </c>
      <c r="C265" s="21" t="s">
        <v>1296</v>
      </c>
      <c r="D265" s="21" t="s">
        <v>1297</v>
      </c>
      <c r="E265" s="21" t="s">
        <v>1379</v>
      </c>
      <c r="F265" s="21" t="s">
        <v>1298</v>
      </c>
      <c r="G265" s="21" t="s">
        <v>1299</v>
      </c>
      <c r="H265" s="21" t="s">
        <v>1306</v>
      </c>
      <c r="I265" s="22">
        <f>DATE(2024,5,6)</f>
        <v>45418</v>
      </c>
      <c r="J265" s="22">
        <f>DATE(2024,5,6)</f>
        <v>45418</v>
      </c>
      <c r="K265" s="22">
        <f>DATE(2026,2,13)</f>
        <v>46066</v>
      </c>
      <c r="L265" s="21" t="s">
        <v>1307</v>
      </c>
      <c r="M265" s="21" t="s">
        <v>1302</v>
      </c>
    </row>
    <row r="266" spans="1:13" x14ac:dyDescent="0.25">
      <c r="A266" s="21" t="s">
        <v>1850</v>
      </c>
      <c r="B266" s="21" t="s">
        <v>1851</v>
      </c>
      <c r="C266" s="21" t="s">
        <v>1296</v>
      </c>
      <c r="D266" s="21" t="s">
        <v>1297</v>
      </c>
      <c r="E266" s="21" t="s">
        <v>1379</v>
      </c>
      <c r="F266" s="21" t="s">
        <v>1298</v>
      </c>
      <c r="G266" s="21" t="s">
        <v>1299</v>
      </c>
      <c r="H266" s="21" t="s">
        <v>1306</v>
      </c>
      <c r="I266" s="22">
        <f>DATE(2024,3,28)</f>
        <v>45379</v>
      </c>
      <c r="J266" s="22">
        <f>DATE(2024,3,28)</f>
        <v>45379</v>
      </c>
      <c r="K266" s="22">
        <f>DATE(2025,3,1)</f>
        <v>45717</v>
      </c>
      <c r="L266" s="21" t="s">
        <v>1307</v>
      </c>
      <c r="M266" s="21" t="s">
        <v>1302</v>
      </c>
    </row>
    <row r="267" spans="1:13" x14ac:dyDescent="0.25">
      <c r="A267" s="21" t="s">
        <v>1852</v>
      </c>
      <c r="B267" s="21" t="s">
        <v>1853</v>
      </c>
      <c r="C267" s="21" t="s">
        <v>1296</v>
      </c>
      <c r="D267" s="21" t="s">
        <v>1297</v>
      </c>
      <c r="E267" s="21" t="s">
        <v>1379</v>
      </c>
      <c r="F267" s="21" t="s">
        <v>1298</v>
      </c>
      <c r="G267" s="21" t="s">
        <v>1305</v>
      </c>
      <c r="H267" s="21" t="s">
        <v>1306</v>
      </c>
      <c r="I267" s="22">
        <f>DATE(2024,7,1)</f>
        <v>45474</v>
      </c>
      <c r="J267" s="22">
        <f>DATE(2024,7,1)</f>
        <v>45474</v>
      </c>
      <c r="K267" s="22">
        <f t="shared" ref="K267:K289" si="11">DATE(2025,6,30)</f>
        <v>45838</v>
      </c>
      <c r="L267" s="21" t="s">
        <v>1307</v>
      </c>
      <c r="M267" s="21" t="s">
        <v>1302</v>
      </c>
    </row>
    <row r="268" spans="1:13" x14ac:dyDescent="0.25">
      <c r="A268" s="21" t="s">
        <v>1854</v>
      </c>
      <c r="B268" s="21" t="s">
        <v>1855</v>
      </c>
      <c r="C268" s="21" t="s">
        <v>1296</v>
      </c>
      <c r="D268" s="21" t="s">
        <v>1297</v>
      </c>
      <c r="E268" s="21" t="s">
        <v>1379</v>
      </c>
      <c r="F268" s="21" t="s">
        <v>1298</v>
      </c>
      <c r="G268" s="21" t="s">
        <v>1305</v>
      </c>
      <c r="H268" s="21" t="s">
        <v>1306</v>
      </c>
      <c r="I268" s="22">
        <f>DATE(2024,7,1)</f>
        <v>45474</v>
      </c>
      <c r="J268" s="22">
        <f>DATE(2024,7,1)</f>
        <v>45474</v>
      </c>
      <c r="K268" s="22">
        <f t="shared" si="11"/>
        <v>45838</v>
      </c>
      <c r="L268" s="21" t="s">
        <v>1307</v>
      </c>
      <c r="M268" s="21" t="s">
        <v>1302</v>
      </c>
    </row>
    <row r="269" spans="1:13" x14ac:dyDescent="0.25">
      <c r="A269" s="21" t="s">
        <v>1856</v>
      </c>
      <c r="B269" s="21" t="s">
        <v>1857</v>
      </c>
      <c r="C269" s="21" t="s">
        <v>1296</v>
      </c>
      <c r="D269" s="21" t="s">
        <v>1297</v>
      </c>
      <c r="E269" s="21" t="s">
        <v>1379</v>
      </c>
      <c r="F269" s="21" t="s">
        <v>1298</v>
      </c>
      <c r="G269" s="21" t="s">
        <v>1305</v>
      </c>
      <c r="H269" s="21" t="s">
        <v>1306</v>
      </c>
      <c r="I269" s="22">
        <f>DATE(2024,7,2)</f>
        <v>45475</v>
      </c>
      <c r="J269" s="22">
        <f t="shared" ref="J269:J289" si="12">DATE(2024,7,1)</f>
        <v>45474</v>
      </c>
      <c r="K269" s="22">
        <f t="shared" si="11"/>
        <v>45838</v>
      </c>
      <c r="L269" s="21" t="s">
        <v>1307</v>
      </c>
      <c r="M269" s="21" t="s">
        <v>1302</v>
      </c>
    </row>
    <row r="270" spans="1:13" x14ac:dyDescent="0.25">
      <c r="A270" s="21" t="s">
        <v>1858</v>
      </c>
      <c r="B270" s="21" t="s">
        <v>1859</v>
      </c>
      <c r="C270" s="21" t="s">
        <v>1296</v>
      </c>
      <c r="D270" s="21" t="s">
        <v>1297</v>
      </c>
      <c r="E270" s="21" t="s">
        <v>1379</v>
      </c>
      <c r="F270" s="21" t="s">
        <v>1298</v>
      </c>
      <c r="G270" s="21" t="s">
        <v>1305</v>
      </c>
      <c r="H270" s="21" t="s">
        <v>1306</v>
      </c>
      <c r="I270" s="22">
        <f t="shared" ref="I270:I289" si="13">DATE(2024,7,1)</f>
        <v>45474</v>
      </c>
      <c r="J270" s="22">
        <f t="shared" si="12"/>
        <v>45474</v>
      </c>
      <c r="K270" s="22">
        <f t="shared" si="11"/>
        <v>45838</v>
      </c>
      <c r="L270" s="21" t="s">
        <v>1307</v>
      </c>
      <c r="M270" s="21" t="s">
        <v>1302</v>
      </c>
    </row>
    <row r="271" spans="1:13" x14ac:dyDescent="0.25">
      <c r="A271" s="21" t="s">
        <v>1860</v>
      </c>
      <c r="B271" s="21" t="s">
        <v>1861</v>
      </c>
      <c r="C271" s="21" t="s">
        <v>1296</v>
      </c>
      <c r="D271" s="21" t="s">
        <v>1297</v>
      </c>
      <c r="E271" s="21" t="s">
        <v>1379</v>
      </c>
      <c r="F271" s="21" t="s">
        <v>1298</v>
      </c>
      <c r="G271" s="21" t="s">
        <v>1305</v>
      </c>
      <c r="H271" s="21" t="s">
        <v>1306</v>
      </c>
      <c r="I271" s="22">
        <f t="shared" si="13"/>
        <v>45474</v>
      </c>
      <c r="J271" s="22">
        <f t="shared" si="12"/>
        <v>45474</v>
      </c>
      <c r="K271" s="22">
        <f t="shared" si="11"/>
        <v>45838</v>
      </c>
      <c r="L271" s="21" t="s">
        <v>1307</v>
      </c>
      <c r="M271" s="21" t="s">
        <v>1302</v>
      </c>
    </row>
    <row r="272" spans="1:13" x14ac:dyDescent="0.25">
      <c r="A272" s="21" t="s">
        <v>1862</v>
      </c>
      <c r="B272" s="21" t="s">
        <v>1863</v>
      </c>
      <c r="C272" s="21" t="s">
        <v>1296</v>
      </c>
      <c r="D272" s="21" t="s">
        <v>1297</v>
      </c>
      <c r="E272" s="21" t="s">
        <v>1379</v>
      </c>
      <c r="F272" s="21" t="s">
        <v>1298</v>
      </c>
      <c r="G272" s="21" t="s">
        <v>1305</v>
      </c>
      <c r="H272" s="21" t="s">
        <v>1306</v>
      </c>
      <c r="I272" s="22">
        <f t="shared" si="13"/>
        <v>45474</v>
      </c>
      <c r="J272" s="22">
        <f t="shared" si="12"/>
        <v>45474</v>
      </c>
      <c r="K272" s="22">
        <f t="shared" si="11"/>
        <v>45838</v>
      </c>
      <c r="L272" s="21" t="s">
        <v>1307</v>
      </c>
      <c r="M272" s="21" t="s">
        <v>1302</v>
      </c>
    </row>
    <row r="273" spans="1:13" x14ac:dyDescent="0.25">
      <c r="A273" s="21" t="s">
        <v>1864</v>
      </c>
      <c r="B273" s="21" t="s">
        <v>1865</v>
      </c>
      <c r="C273" s="21" t="s">
        <v>1296</v>
      </c>
      <c r="D273" s="21" t="s">
        <v>1297</v>
      </c>
      <c r="E273" s="21" t="s">
        <v>1379</v>
      </c>
      <c r="F273" s="21" t="s">
        <v>1298</v>
      </c>
      <c r="G273" s="21" t="s">
        <v>1305</v>
      </c>
      <c r="H273" s="21" t="s">
        <v>1306</v>
      </c>
      <c r="I273" s="22">
        <f t="shared" si="13"/>
        <v>45474</v>
      </c>
      <c r="J273" s="22">
        <f t="shared" si="12"/>
        <v>45474</v>
      </c>
      <c r="K273" s="22">
        <f t="shared" si="11"/>
        <v>45838</v>
      </c>
      <c r="L273" s="21" t="s">
        <v>1307</v>
      </c>
      <c r="M273" s="21" t="s">
        <v>1302</v>
      </c>
    </row>
    <row r="274" spans="1:13" x14ac:dyDescent="0.25">
      <c r="A274" s="21" t="s">
        <v>1866</v>
      </c>
      <c r="B274" s="21" t="s">
        <v>1867</v>
      </c>
      <c r="C274" s="21" t="s">
        <v>1296</v>
      </c>
      <c r="D274" s="21" t="s">
        <v>1297</v>
      </c>
      <c r="E274" s="21" t="s">
        <v>1379</v>
      </c>
      <c r="F274" s="21" t="s">
        <v>1298</v>
      </c>
      <c r="G274" s="21" t="s">
        <v>1305</v>
      </c>
      <c r="H274" s="21" t="s">
        <v>1306</v>
      </c>
      <c r="I274" s="22">
        <f t="shared" si="13"/>
        <v>45474</v>
      </c>
      <c r="J274" s="22">
        <f t="shared" si="12"/>
        <v>45474</v>
      </c>
      <c r="K274" s="22">
        <f t="shared" si="11"/>
        <v>45838</v>
      </c>
      <c r="L274" s="21" t="s">
        <v>1307</v>
      </c>
      <c r="M274" s="21" t="s">
        <v>1302</v>
      </c>
    </row>
    <row r="275" spans="1:13" x14ac:dyDescent="0.25">
      <c r="A275" s="21" t="s">
        <v>1868</v>
      </c>
      <c r="B275" s="21" t="s">
        <v>1869</v>
      </c>
      <c r="C275" s="21" t="s">
        <v>1296</v>
      </c>
      <c r="D275" s="21" t="s">
        <v>1297</v>
      </c>
      <c r="E275" s="21" t="s">
        <v>1379</v>
      </c>
      <c r="F275" s="21" t="s">
        <v>1298</v>
      </c>
      <c r="G275" s="21" t="s">
        <v>1305</v>
      </c>
      <c r="H275" s="21" t="s">
        <v>1306</v>
      </c>
      <c r="I275" s="22">
        <f t="shared" si="13"/>
        <v>45474</v>
      </c>
      <c r="J275" s="22">
        <f t="shared" si="12"/>
        <v>45474</v>
      </c>
      <c r="K275" s="22">
        <f t="shared" si="11"/>
        <v>45838</v>
      </c>
      <c r="L275" s="21" t="s">
        <v>1307</v>
      </c>
      <c r="M275" s="21" t="s">
        <v>1302</v>
      </c>
    </row>
    <row r="276" spans="1:13" x14ac:dyDescent="0.25">
      <c r="A276" s="21" t="s">
        <v>1870</v>
      </c>
      <c r="B276" s="21" t="s">
        <v>1871</v>
      </c>
      <c r="C276" s="21" t="s">
        <v>1296</v>
      </c>
      <c r="D276" s="21" t="s">
        <v>1297</v>
      </c>
      <c r="E276" s="21" t="s">
        <v>1379</v>
      </c>
      <c r="F276" s="21" t="s">
        <v>1298</v>
      </c>
      <c r="G276" s="21" t="s">
        <v>1305</v>
      </c>
      <c r="H276" s="21" t="s">
        <v>1306</v>
      </c>
      <c r="I276" s="22">
        <f t="shared" si="13"/>
        <v>45474</v>
      </c>
      <c r="J276" s="22">
        <f t="shared" si="12"/>
        <v>45474</v>
      </c>
      <c r="K276" s="22">
        <f t="shared" si="11"/>
        <v>45838</v>
      </c>
      <c r="L276" s="21" t="s">
        <v>1307</v>
      </c>
      <c r="M276" s="21" t="s">
        <v>1302</v>
      </c>
    </row>
    <row r="277" spans="1:13" x14ac:dyDescent="0.25">
      <c r="A277" s="21" t="s">
        <v>1872</v>
      </c>
      <c r="B277" s="21" t="s">
        <v>1873</v>
      </c>
      <c r="C277" s="21" t="s">
        <v>1296</v>
      </c>
      <c r="D277" s="21" t="s">
        <v>1297</v>
      </c>
      <c r="E277" s="21" t="s">
        <v>1379</v>
      </c>
      <c r="F277" s="21" t="s">
        <v>1298</v>
      </c>
      <c r="G277" s="21" t="s">
        <v>1305</v>
      </c>
      <c r="H277" s="21" t="s">
        <v>1306</v>
      </c>
      <c r="I277" s="22">
        <f t="shared" si="13"/>
        <v>45474</v>
      </c>
      <c r="J277" s="22">
        <f t="shared" si="12"/>
        <v>45474</v>
      </c>
      <c r="K277" s="22">
        <f t="shared" si="11"/>
        <v>45838</v>
      </c>
      <c r="L277" s="21" t="s">
        <v>1307</v>
      </c>
      <c r="M277" s="21" t="s">
        <v>1302</v>
      </c>
    </row>
    <row r="278" spans="1:13" x14ac:dyDescent="0.25">
      <c r="A278" s="21" t="s">
        <v>1874</v>
      </c>
      <c r="B278" s="21" t="s">
        <v>1875</v>
      </c>
      <c r="C278" s="21" t="s">
        <v>1296</v>
      </c>
      <c r="D278" s="21" t="s">
        <v>1297</v>
      </c>
      <c r="E278" s="21" t="s">
        <v>1379</v>
      </c>
      <c r="F278" s="21" t="s">
        <v>1298</v>
      </c>
      <c r="G278" s="21" t="s">
        <v>1305</v>
      </c>
      <c r="H278" s="21" t="s">
        <v>1306</v>
      </c>
      <c r="I278" s="22">
        <f t="shared" si="13"/>
        <v>45474</v>
      </c>
      <c r="J278" s="22">
        <f t="shared" si="12"/>
        <v>45474</v>
      </c>
      <c r="K278" s="22">
        <f t="shared" si="11"/>
        <v>45838</v>
      </c>
      <c r="L278" s="21" t="s">
        <v>1307</v>
      </c>
      <c r="M278" s="21" t="s">
        <v>1302</v>
      </c>
    </row>
    <row r="279" spans="1:13" x14ac:dyDescent="0.25">
      <c r="A279" s="21" t="s">
        <v>1876</v>
      </c>
      <c r="B279" s="21" t="s">
        <v>1877</v>
      </c>
      <c r="C279" s="21" t="s">
        <v>1296</v>
      </c>
      <c r="D279" s="21" t="s">
        <v>1297</v>
      </c>
      <c r="E279" s="21" t="s">
        <v>1379</v>
      </c>
      <c r="F279" s="21" t="s">
        <v>1298</v>
      </c>
      <c r="G279" s="21" t="s">
        <v>1305</v>
      </c>
      <c r="H279" s="21" t="s">
        <v>1306</v>
      </c>
      <c r="I279" s="22">
        <f t="shared" si="13"/>
        <v>45474</v>
      </c>
      <c r="J279" s="22">
        <f t="shared" si="12"/>
        <v>45474</v>
      </c>
      <c r="K279" s="22">
        <f t="shared" si="11"/>
        <v>45838</v>
      </c>
      <c r="L279" s="21" t="s">
        <v>1307</v>
      </c>
      <c r="M279" s="21" t="s">
        <v>1302</v>
      </c>
    </row>
    <row r="280" spans="1:13" x14ac:dyDescent="0.25">
      <c r="A280" s="21" t="s">
        <v>1878</v>
      </c>
      <c r="B280" s="21" t="s">
        <v>1879</v>
      </c>
      <c r="C280" s="21" t="s">
        <v>1296</v>
      </c>
      <c r="D280" s="21" t="s">
        <v>1297</v>
      </c>
      <c r="E280" s="21" t="s">
        <v>1379</v>
      </c>
      <c r="F280" s="21" t="s">
        <v>1298</v>
      </c>
      <c r="G280" s="21" t="s">
        <v>1305</v>
      </c>
      <c r="H280" s="21" t="s">
        <v>1306</v>
      </c>
      <c r="I280" s="22">
        <f t="shared" si="13"/>
        <v>45474</v>
      </c>
      <c r="J280" s="22">
        <f t="shared" si="12"/>
        <v>45474</v>
      </c>
      <c r="K280" s="22">
        <f t="shared" si="11"/>
        <v>45838</v>
      </c>
      <c r="L280" s="21" t="s">
        <v>1307</v>
      </c>
      <c r="M280" s="21" t="s">
        <v>1302</v>
      </c>
    </row>
    <row r="281" spans="1:13" x14ac:dyDescent="0.25">
      <c r="A281" s="21" t="s">
        <v>1880</v>
      </c>
      <c r="B281" s="21" t="s">
        <v>1881</v>
      </c>
      <c r="C281" s="21" t="s">
        <v>1296</v>
      </c>
      <c r="D281" s="21" t="s">
        <v>1297</v>
      </c>
      <c r="E281" s="21" t="s">
        <v>1379</v>
      </c>
      <c r="F281" s="21" t="s">
        <v>1298</v>
      </c>
      <c r="G281" s="21" t="s">
        <v>1305</v>
      </c>
      <c r="H281" s="21" t="s">
        <v>1306</v>
      </c>
      <c r="I281" s="22">
        <f t="shared" si="13"/>
        <v>45474</v>
      </c>
      <c r="J281" s="22">
        <f t="shared" si="12"/>
        <v>45474</v>
      </c>
      <c r="K281" s="22">
        <f t="shared" si="11"/>
        <v>45838</v>
      </c>
      <c r="L281" s="21" t="s">
        <v>1307</v>
      </c>
      <c r="M281" s="21" t="s">
        <v>1302</v>
      </c>
    </row>
    <row r="282" spans="1:13" x14ac:dyDescent="0.25">
      <c r="A282" s="21" t="s">
        <v>1882</v>
      </c>
      <c r="B282" s="21" t="s">
        <v>1883</v>
      </c>
      <c r="C282" s="21" t="s">
        <v>1296</v>
      </c>
      <c r="D282" s="21" t="s">
        <v>1297</v>
      </c>
      <c r="E282" s="21" t="s">
        <v>1379</v>
      </c>
      <c r="F282" s="21" t="s">
        <v>1298</v>
      </c>
      <c r="G282" s="21" t="s">
        <v>1305</v>
      </c>
      <c r="H282" s="21" t="s">
        <v>1306</v>
      </c>
      <c r="I282" s="22">
        <f t="shared" si="13"/>
        <v>45474</v>
      </c>
      <c r="J282" s="22">
        <f t="shared" si="12"/>
        <v>45474</v>
      </c>
      <c r="K282" s="22">
        <f t="shared" si="11"/>
        <v>45838</v>
      </c>
      <c r="L282" s="21" t="s">
        <v>1307</v>
      </c>
      <c r="M282" s="21" t="s">
        <v>1302</v>
      </c>
    </row>
    <row r="283" spans="1:13" x14ac:dyDescent="0.25">
      <c r="A283" s="21" t="s">
        <v>1884</v>
      </c>
      <c r="B283" s="21" t="s">
        <v>1885</v>
      </c>
      <c r="C283" s="21" t="s">
        <v>1296</v>
      </c>
      <c r="D283" s="21" t="s">
        <v>1297</v>
      </c>
      <c r="E283" s="21" t="s">
        <v>1379</v>
      </c>
      <c r="F283" s="21" t="s">
        <v>1298</v>
      </c>
      <c r="G283" s="21" t="s">
        <v>1305</v>
      </c>
      <c r="H283" s="21" t="s">
        <v>1306</v>
      </c>
      <c r="I283" s="22">
        <f t="shared" si="13"/>
        <v>45474</v>
      </c>
      <c r="J283" s="22">
        <f t="shared" si="12"/>
        <v>45474</v>
      </c>
      <c r="K283" s="22">
        <f t="shared" si="11"/>
        <v>45838</v>
      </c>
      <c r="L283" s="21" t="s">
        <v>1307</v>
      </c>
      <c r="M283" s="21" t="s">
        <v>1302</v>
      </c>
    </row>
    <row r="284" spans="1:13" x14ac:dyDescent="0.25">
      <c r="A284" s="21" t="s">
        <v>1886</v>
      </c>
      <c r="B284" s="21" t="s">
        <v>1887</v>
      </c>
      <c r="C284" s="21" t="s">
        <v>1296</v>
      </c>
      <c r="D284" s="21" t="s">
        <v>1297</v>
      </c>
      <c r="E284" s="21" t="s">
        <v>1379</v>
      </c>
      <c r="F284" s="21" t="s">
        <v>1298</v>
      </c>
      <c r="G284" s="21" t="s">
        <v>1305</v>
      </c>
      <c r="H284" s="21" t="s">
        <v>1306</v>
      </c>
      <c r="I284" s="22">
        <f t="shared" si="13"/>
        <v>45474</v>
      </c>
      <c r="J284" s="22">
        <f t="shared" si="12"/>
        <v>45474</v>
      </c>
      <c r="K284" s="22">
        <f t="shared" si="11"/>
        <v>45838</v>
      </c>
      <c r="L284" s="21" t="s">
        <v>1307</v>
      </c>
      <c r="M284" s="21" t="s">
        <v>1302</v>
      </c>
    </row>
    <row r="285" spans="1:13" x14ac:dyDescent="0.25">
      <c r="A285" s="21" t="s">
        <v>1888</v>
      </c>
      <c r="B285" s="21" t="s">
        <v>1889</v>
      </c>
      <c r="C285" s="21" t="s">
        <v>1296</v>
      </c>
      <c r="D285" s="21" t="s">
        <v>1297</v>
      </c>
      <c r="E285" s="21" t="s">
        <v>1379</v>
      </c>
      <c r="F285" s="21" t="s">
        <v>1298</v>
      </c>
      <c r="G285" s="21" t="s">
        <v>1305</v>
      </c>
      <c r="H285" s="21" t="s">
        <v>1306</v>
      </c>
      <c r="I285" s="22">
        <f t="shared" si="13"/>
        <v>45474</v>
      </c>
      <c r="J285" s="22">
        <f t="shared" si="12"/>
        <v>45474</v>
      </c>
      <c r="K285" s="22">
        <f t="shared" si="11"/>
        <v>45838</v>
      </c>
      <c r="L285" s="21" t="s">
        <v>1307</v>
      </c>
      <c r="M285" s="21" t="s">
        <v>1302</v>
      </c>
    </row>
    <row r="286" spans="1:13" x14ac:dyDescent="0.25">
      <c r="A286" s="21" t="s">
        <v>1890</v>
      </c>
      <c r="B286" s="21" t="s">
        <v>1891</v>
      </c>
      <c r="C286" s="21" t="s">
        <v>1296</v>
      </c>
      <c r="D286" s="21" t="s">
        <v>1297</v>
      </c>
      <c r="E286" s="21" t="s">
        <v>1379</v>
      </c>
      <c r="F286" s="21" t="s">
        <v>1298</v>
      </c>
      <c r="G286" s="21" t="s">
        <v>1305</v>
      </c>
      <c r="H286" s="21" t="s">
        <v>1306</v>
      </c>
      <c r="I286" s="22">
        <f t="shared" si="13"/>
        <v>45474</v>
      </c>
      <c r="J286" s="22">
        <f t="shared" si="12"/>
        <v>45474</v>
      </c>
      <c r="K286" s="22">
        <f t="shared" si="11"/>
        <v>45838</v>
      </c>
      <c r="L286" s="21" t="s">
        <v>1307</v>
      </c>
      <c r="M286" s="21" t="s">
        <v>1302</v>
      </c>
    </row>
    <row r="287" spans="1:13" x14ac:dyDescent="0.25">
      <c r="A287" s="21" t="s">
        <v>1892</v>
      </c>
      <c r="B287" s="21" t="s">
        <v>1893</v>
      </c>
      <c r="C287" s="21" t="s">
        <v>1296</v>
      </c>
      <c r="D287" s="21" t="s">
        <v>1297</v>
      </c>
      <c r="E287" s="21" t="s">
        <v>1379</v>
      </c>
      <c r="F287" s="21" t="s">
        <v>1298</v>
      </c>
      <c r="G287" s="21" t="s">
        <v>1305</v>
      </c>
      <c r="H287" s="21" t="s">
        <v>1306</v>
      </c>
      <c r="I287" s="22">
        <f t="shared" si="13"/>
        <v>45474</v>
      </c>
      <c r="J287" s="22">
        <f t="shared" si="12"/>
        <v>45474</v>
      </c>
      <c r="K287" s="22">
        <f t="shared" si="11"/>
        <v>45838</v>
      </c>
      <c r="L287" s="21" t="s">
        <v>1307</v>
      </c>
      <c r="M287" s="21" t="s">
        <v>1302</v>
      </c>
    </row>
    <row r="288" spans="1:13" x14ac:dyDescent="0.25">
      <c r="A288" s="21" t="s">
        <v>1894</v>
      </c>
      <c r="B288" s="21" t="s">
        <v>1895</v>
      </c>
      <c r="C288" s="21" t="s">
        <v>1296</v>
      </c>
      <c r="D288" s="21" t="s">
        <v>1297</v>
      </c>
      <c r="E288" s="21" t="s">
        <v>1379</v>
      </c>
      <c r="F288" s="21" t="s">
        <v>1298</v>
      </c>
      <c r="G288" s="21" t="s">
        <v>1305</v>
      </c>
      <c r="H288" s="21" t="s">
        <v>1306</v>
      </c>
      <c r="I288" s="22">
        <f t="shared" si="13"/>
        <v>45474</v>
      </c>
      <c r="J288" s="22">
        <f t="shared" si="12"/>
        <v>45474</v>
      </c>
      <c r="K288" s="22">
        <f t="shared" si="11"/>
        <v>45838</v>
      </c>
      <c r="L288" s="21" t="s">
        <v>1307</v>
      </c>
      <c r="M288" s="21" t="s">
        <v>1302</v>
      </c>
    </row>
    <row r="289" spans="1:13" x14ac:dyDescent="0.25">
      <c r="A289" s="21" t="s">
        <v>1896</v>
      </c>
      <c r="B289" s="21" t="s">
        <v>1897</v>
      </c>
      <c r="C289" s="21" t="s">
        <v>1296</v>
      </c>
      <c r="D289" s="21" t="s">
        <v>1297</v>
      </c>
      <c r="E289" s="21" t="s">
        <v>1379</v>
      </c>
      <c r="F289" s="21" t="s">
        <v>1298</v>
      </c>
      <c r="G289" s="21" t="s">
        <v>1305</v>
      </c>
      <c r="H289" s="21" t="s">
        <v>1306</v>
      </c>
      <c r="I289" s="22">
        <f t="shared" si="13"/>
        <v>45474</v>
      </c>
      <c r="J289" s="22">
        <f t="shared" si="12"/>
        <v>45474</v>
      </c>
      <c r="K289" s="22">
        <f t="shared" si="11"/>
        <v>45838</v>
      </c>
      <c r="L289" s="21" t="s">
        <v>1307</v>
      </c>
      <c r="M289" s="21" t="s">
        <v>1302</v>
      </c>
    </row>
    <row r="290" spans="1:13" x14ac:dyDescent="0.25">
      <c r="A290" s="21" t="s">
        <v>1898</v>
      </c>
      <c r="B290" s="21" t="s">
        <v>1899</v>
      </c>
      <c r="C290" s="21" t="s">
        <v>1296</v>
      </c>
      <c r="D290" s="21" t="s">
        <v>1297</v>
      </c>
      <c r="E290" s="21" t="s">
        <v>1379</v>
      </c>
      <c r="F290" s="21" t="s">
        <v>1298</v>
      </c>
      <c r="G290" s="21" t="s">
        <v>1305</v>
      </c>
      <c r="H290" s="21" t="s">
        <v>1300</v>
      </c>
      <c r="I290" s="22">
        <f>DATE(2023,11,20)</f>
        <v>45250</v>
      </c>
      <c r="J290" s="22">
        <f>DATE(2023,11,20)</f>
        <v>45250</v>
      </c>
      <c r="K290" s="22">
        <f>DATE(2028,11,20)</f>
        <v>47077</v>
      </c>
      <c r="L290" s="21" t="s">
        <v>1307</v>
      </c>
      <c r="M290" s="21" t="s">
        <v>1302</v>
      </c>
    </row>
    <row r="291" spans="1:13" x14ac:dyDescent="0.25">
      <c r="A291" s="21" t="s">
        <v>1900</v>
      </c>
      <c r="B291" s="21" t="s">
        <v>1901</v>
      </c>
      <c r="C291" s="21" t="s">
        <v>1296</v>
      </c>
      <c r="D291" s="21" t="s">
        <v>1297</v>
      </c>
      <c r="E291" s="21" t="s">
        <v>1379</v>
      </c>
      <c r="F291" s="21" t="s">
        <v>1298</v>
      </c>
      <c r="G291" s="21" t="s">
        <v>1305</v>
      </c>
      <c r="H291" s="21" t="s">
        <v>1316</v>
      </c>
      <c r="I291" s="22">
        <f>DATE(2023,10,18)</f>
        <v>45217</v>
      </c>
      <c r="J291" s="22">
        <f>DATE(2023,10,18)</f>
        <v>45217</v>
      </c>
      <c r="K291" s="22">
        <f>DATE(2028,10,18)</f>
        <v>47044</v>
      </c>
      <c r="L291" s="21" t="s">
        <v>1307</v>
      </c>
      <c r="M291" s="21" t="s">
        <v>1302</v>
      </c>
    </row>
    <row r="292" spans="1:13" x14ac:dyDescent="0.25">
      <c r="A292" s="21" t="s">
        <v>1902</v>
      </c>
      <c r="B292" s="21" t="s">
        <v>1903</v>
      </c>
      <c r="C292" s="21" t="s">
        <v>1296</v>
      </c>
      <c r="D292" s="21" t="s">
        <v>1297</v>
      </c>
      <c r="E292" s="21" t="s">
        <v>1379</v>
      </c>
      <c r="F292" s="21" t="s">
        <v>1298</v>
      </c>
      <c r="G292" s="21" t="s">
        <v>1305</v>
      </c>
      <c r="H292" s="21" t="s">
        <v>1316</v>
      </c>
      <c r="I292" s="22">
        <f>DATE(2024,9,12)</f>
        <v>45547</v>
      </c>
      <c r="J292" s="22">
        <f>DATE(2024,9,12)</f>
        <v>45547</v>
      </c>
      <c r="K292" s="22">
        <f>DATE(2029,9,12)</f>
        <v>47373</v>
      </c>
      <c r="L292" s="21" t="s">
        <v>1307</v>
      </c>
      <c r="M292" s="21" t="s">
        <v>1302</v>
      </c>
    </row>
    <row r="293" spans="1:13" x14ac:dyDescent="0.25">
      <c r="A293" s="21" t="s">
        <v>1904</v>
      </c>
      <c r="B293" s="21" t="s">
        <v>1905</v>
      </c>
      <c r="C293" s="21" t="s">
        <v>1296</v>
      </c>
      <c r="D293" s="21" t="s">
        <v>1297</v>
      </c>
      <c r="E293" s="21" t="s">
        <v>1379</v>
      </c>
      <c r="F293" s="21" t="s">
        <v>1298</v>
      </c>
      <c r="G293" s="21" t="s">
        <v>1299</v>
      </c>
      <c r="H293" s="21" t="s">
        <v>1386</v>
      </c>
      <c r="I293" s="22">
        <f>DATE(2020,9,1)</f>
        <v>44075</v>
      </c>
      <c r="J293" s="22">
        <f>DATE(2020,9,1)</f>
        <v>44075</v>
      </c>
      <c r="K293" s="22">
        <f>DATE(2025,9,1)</f>
        <v>45901</v>
      </c>
      <c r="L293" s="21" t="s">
        <v>1301</v>
      </c>
      <c r="M293" s="21" t="s">
        <v>1302</v>
      </c>
    </row>
    <row r="294" spans="1:13" x14ac:dyDescent="0.25">
      <c r="A294" s="21" t="s">
        <v>1906</v>
      </c>
      <c r="B294" s="21" t="s">
        <v>1907</v>
      </c>
      <c r="C294" s="21" t="s">
        <v>1296</v>
      </c>
      <c r="D294" s="21" t="s">
        <v>1297</v>
      </c>
      <c r="E294" s="21" t="s">
        <v>1379</v>
      </c>
      <c r="F294" s="21" t="s">
        <v>1298</v>
      </c>
      <c r="G294" s="21" t="s">
        <v>1299</v>
      </c>
      <c r="H294" s="21" t="s">
        <v>1306</v>
      </c>
      <c r="I294" s="22">
        <f>DATE(2024,5,29)</f>
        <v>45441</v>
      </c>
      <c r="J294" s="22">
        <f>DATE(2024,5,29)</f>
        <v>45441</v>
      </c>
      <c r="K294" s="22">
        <f>DATE(2025,6,1)</f>
        <v>45809</v>
      </c>
      <c r="L294" s="21" t="s">
        <v>1307</v>
      </c>
      <c r="M294" s="21" t="s">
        <v>1302</v>
      </c>
    </row>
    <row r="295" spans="1:13" x14ac:dyDescent="0.25">
      <c r="A295" s="21" t="s">
        <v>1908</v>
      </c>
      <c r="B295" s="21" t="s">
        <v>1909</v>
      </c>
      <c r="C295" s="21" t="s">
        <v>1296</v>
      </c>
      <c r="D295" s="21" t="s">
        <v>1297</v>
      </c>
      <c r="E295" s="21" t="s">
        <v>1379</v>
      </c>
      <c r="F295" s="21" t="s">
        <v>1298</v>
      </c>
      <c r="G295" s="21" t="s">
        <v>1299</v>
      </c>
      <c r="H295" s="21" t="s">
        <v>1306</v>
      </c>
      <c r="I295" s="22">
        <f>DATE(2024,5,29)</f>
        <v>45441</v>
      </c>
      <c r="J295" s="22">
        <f>DATE(2024,5,29)</f>
        <v>45441</v>
      </c>
      <c r="K295" s="22">
        <f>DATE(2025,6,1)</f>
        <v>45809</v>
      </c>
      <c r="L295" s="21" t="s">
        <v>1307</v>
      </c>
      <c r="M295" s="21" t="s">
        <v>1302</v>
      </c>
    </row>
    <row r="296" spans="1:13" x14ac:dyDescent="0.25">
      <c r="A296" s="21" t="s">
        <v>1910</v>
      </c>
      <c r="B296" s="21" t="s">
        <v>1911</v>
      </c>
      <c r="C296" s="21" t="s">
        <v>1359</v>
      </c>
      <c r="D296" s="21" t="s">
        <v>1297</v>
      </c>
      <c r="E296" s="21" t="s">
        <v>1379</v>
      </c>
      <c r="F296" s="21" t="s">
        <v>1298</v>
      </c>
      <c r="G296" s="21" t="s">
        <v>1299</v>
      </c>
      <c r="H296" s="21" t="s">
        <v>1297</v>
      </c>
      <c r="I296" s="22">
        <f>DATE(1900,1,1)</f>
        <v>1</v>
      </c>
      <c r="J296" s="22">
        <f>DATE(1900,1,1)</f>
        <v>1</v>
      </c>
      <c r="K296" s="22">
        <f>DATE(1900,1,1)</f>
        <v>1</v>
      </c>
      <c r="L296" s="21" t="s">
        <v>1297</v>
      </c>
      <c r="M296" s="21" t="s">
        <v>1302</v>
      </c>
    </row>
    <row r="297" spans="1:13" x14ac:dyDescent="0.25">
      <c r="A297" s="21" t="s">
        <v>1912</v>
      </c>
      <c r="B297" s="21" t="s">
        <v>1913</v>
      </c>
      <c r="C297" s="21" t="s">
        <v>1296</v>
      </c>
      <c r="D297" s="21" t="s">
        <v>1297</v>
      </c>
      <c r="E297" s="21" t="s">
        <v>1379</v>
      </c>
      <c r="F297" s="21" t="s">
        <v>1298</v>
      </c>
      <c r="G297" s="21" t="s">
        <v>1299</v>
      </c>
      <c r="H297" s="21" t="s">
        <v>1306</v>
      </c>
      <c r="I297" s="22">
        <f>DATE(2024,9,12)</f>
        <v>45547</v>
      </c>
      <c r="J297" s="22">
        <f>DATE(2024,9,12)</f>
        <v>45547</v>
      </c>
      <c r="K297" s="22">
        <f>DATE(2025,9,2)</f>
        <v>45902</v>
      </c>
      <c r="L297" s="21" t="s">
        <v>1307</v>
      </c>
      <c r="M297" s="21" t="s">
        <v>1302</v>
      </c>
    </row>
    <row r="298" spans="1:13" x14ac:dyDescent="0.25">
      <c r="A298" s="21" t="s">
        <v>1914</v>
      </c>
      <c r="B298" s="21" t="s">
        <v>1915</v>
      </c>
      <c r="C298" s="21" t="s">
        <v>1296</v>
      </c>
      <c r="D298" s="21" t="s">
        <v>1297</v>
      </c>
      <c r="E298" s="21" t="s">
        <v>1379</v>
      </c>
      <c r="F298" s="21" t="s">
        <v>1298</v>
      </c>
      <c r="G298" s="21" t="s">
        <v>1305</v>
      </c>
      <c r="H298" s="21" t="s">
        <v>1316</v>
      </c>
      <c r="I298" s="22">
        <f>DATE(2024,8,23)</f>
        <v>45527</v>
      </c>
      <c r="J298" s="22">
        <f>DATE(2024,8,23)</f>
        <v>45527</v>
      </c>
      <c r="K298" s="22">
        <f>DATE(2029,8,23)</f>
        <v>47353</v>
      </c>
      <c r="L298" s="21" t="s">
        <v>1307</v>
      </c>
      <c r="M298" s="21" t="s">
        <v>1302</v>
      </c>
    </row>
    <row r="299" spans="1:13" x14ac:dyDescent="0.25">
      <c r="A299" s="21" t="s">
        <v>1916</v>
      </c>
      <c r="B299" s="21" t="s">
        <v>1917</v>
      </c>
      <c r="C299" s="21" t="s">
        <v>1296</v>
      </c>
      <c r="D299" s="21" t="s">
        <v>1297</v>
      </c>
      <c r="E299" s="21" t="s">
        <v>1379</v>
      </c>
      <c r="F299" s="21" t="s">
        <v>1298</v>
      </c>
      <c r="G299" s="21" t="s">
        <v>1299</v>
      </c>
      <c r="H299" s="21" t="s">
        <v>1306</v>
      </c>
      <c r="I299" s="22">
        <f>DATE(2024,8,9)</f>
        <v>45513</v>
      </c>
      <c r="J299" s="22">
        <f>DATE(2024,8,9)</f>
        <v>45513</v>
      </c>
      <c r="K299" s="22">
        <f>DATE(2025,8,1)</f>
        <v>45870</v>
      </c>
      <c r="L299" s="21" t="s">
        <v>1307</v>
      </c>
      <c r="M299" s="21" t="s">
        <v>1302</v>
      </c>
    </row>
    <row r="300" spans="1:13" x14ac:dyDescent="0.25">
      <c r="A300" s="21" t="s">
        <v>1918</v>
      </c>
      <c r="B300" s="21" t="s">
        <v>1919</v>
      </c>
      <c r="C300" s="21" t="s">
        <v>1296</v>
      </c>
      <c r="D300" s="21" t="s">
        <v>1297</v>
      </c>
      <c r="E300" s="21" t="s">
        <v>1379</v>
      </c>
      <c r="F300" s="21" t="s">
        <v>1298</v>
      </c>
      <c r="G300" s="21" t="s">
        <v>1305</v>
      </c>
      <c r="H300" s="21" t="s">
        <v>1300</v>
      </c>
      <c r="I300" s="22">
        <f>DATE(2020,4,1)</f>
        <v>43922</v>
      </c>
      <c r="J300" s="22">
        <f>DATE(2020,4,1)</f>
        <v>43922</v>
      </c>
      <c r="K300" s="22">
        <f>DATE(2025,4,1)</f>
        <v>45748</v>
      </c>
      <c r="L300" s="21" t="s">
        <v>1301</v>
      </c>
      <c r="M300" s="21" t="s">
        <v>1302</v>
      </c>
    </row>
    <row r="301" spans="1:13" x14ac:dyDescent="0.25">
      <c r="A301" s="21" t="s">
        <v>1920</v>
      </c>
      <c r="B301" s="21" t="s">
        <v>1921</v>
      </c>
      <c r="C301" s="21" t="s">
        <v>1296</v>
      </c>
      <c r="D301" s="21" t="s">
        <v>1297</v>
      </c>
      <c r="E301" s="21" t="s">
        <v>1379</v>
      </c>
      <c r="F301" s="21" t="s">
        <v>1298</v>
      </c>
      <c r="G301" s="21" t="s">
        <v>1305</v>
      </c>
      <c r="H301" s="21" t="s">
        <v>1306</v>
      </c>
      <c r="I301" s="22">
        <f>DATE(2024,3,27)</f>
        <v>45378</v>
      </c>
      <c r="J301" s="22">
        <f>DATE(2024,3,27)</f>
        <v>45378</v>
      </c>
      <c r="K301" s="22">
        <f>DATE(2025,3,10)</f>
        <v>45726</v>
      </c>
      <c r="L301" s="21" t="s">
        <v>1307</v>
      </c>
      <c r="M301" s="21" t="s">
        <v>1302</v>
      </c>
    </row>
    <row r="302" spans="1:13" x14ac:dyDescent="0.25">
      <c r="A302" s="21" t="s">
        <v>1922</v>
      </c>
      <c r="B302" s="21" t="s">
        <v>1923</v>
      </c>
      <c r="C302" s="21" t="s">
        <v>1296</v>
      </c>
      <c r="D302" s="21" t="s">
        <v>1297</v>
      </c>
      <c r="E302" s="21" t="s">
        <v>1379</v>
      </c>
      <c r="F302" s="21" t="s">
        <v>1298</v>
      </c>
      <c r="G302" s="21" t="s">
        <v>1305</v>
      </c>
      <c r="H302" s="21" t="s">
        <v>1316</v>
      </c>
      <c r="I302" s="22">
        <f>DATE(2024,1,18)</f>
        <v>45309</v>
      </c>
      <c r="J302" s="22">
        <f>DATE(2024,1,18)</f>
        <v>45309</v>
      </c>
      <c r="K302" s="22">
        <f>DATE(2029,1,18)</f>
        <v>47136</v>
      </c>
      <c r="L302" s="21" t="s">
        <v>1307</v>
      </c>
      <c r="M302" s="21" t="s">
        <v>1302</v>
      </c>
    </row>
    <row r="303" spans="1:13" x14ac:dyDescent="0.25">
      <c r="A303" s="21" t="s">
        <v>1924</v>
      </c>
      <c r="B303" s="21" t="s">
        <v>1925</v>
      </c>
      <c r="C303" s="21" t="s">
        <v>1296</v>
      </c>
      <c r="D303" s="21" t="s">
        <v>1297</v>
      </c>
      <c r="E303" s="21" t="s">
        <v>1379</v>
      </c>
      <c r="F303" s="21" t="s">
        <v>1298</v>
      </c>
      <c r="G303" s="21" t="s">
        <v>1305</v>
      </c>
      <c r="H303" s="21" t="s">
        <v>1316</v>
      </c>
      <c r="I303" s="22">
        <f>DATE(2024,7,17)</f>
        <v>45490</v>
      </c>
      <c r="J303" s="22">
        <f>DATE(2024,7,17)</f>
        <v>45490</v>
      </c>
      <c r="K303" s="22">
        <f>DATE(2029,7,17)</f>
        <v>47316</v>
      </c>
      <c r="L303" s="21" t="s">
        <v>1307</v>
      </c>
      <c r="M303" s="21" t="s">
        <v>1302</v>
      </c>
    </row>
    <row r="304" spans="1:13" x14ac:dyDescent="0.25">
      <c r="A304" s="21" t="s">
        <v>1926</v>
      </c>
      <c r="B304" s="21" t="s">
        <v>1927</v>
      </c>
      <c r="C304" s="21" t="s">
        <v>1296</v>
      </c>
      <c r="D304" s="21" t="s">
        <v>1297</v>
      </c>
      <c r="E304" s="21" t="s">
        <v>1379</v>
      </c>
      <c r="F304" s="21" t="s">
        <v>1298</v>
      </c>
      <c r="G304" s="21" t="s">
        <v>1305</v>
      </c>
      <c r="H304" s="21" t="s">
        <v>1316</v>
      </c>
      <c r="I304" s="22">
        <f>DATE(2024,5,1)</f>
        <v>45413</v>
      </c>
      <c r="J304" s="22">
        <f>DATE(2024,5,1)</f>
        <v>45413</v>
      </c>
      <c r="K304" s="22">
        <f>DATE(2029,5,1)</f>
        <v>47239</v>
      </c>
      <c r="L304" s="21" t="s">
        <v>1307</v>
      </c>
      <c r="M304" s="21" t="s">
        <v>1302</v>
      </c>
    </row>
    <row r="305" spans="1:13" x14ac:dyDescent="0.25">
      <c r="A305" s="21" t="s">
        <v>1928</v>
      </c>
      <c r="B305" s="21" t="s">
        <v>1929</v>
      </c>
      <c r="C305" s="21" t="s">
        <v>1296</v>
      </c>
      <c r="D305" s="21" t="s">
        <v>1297</v>
      </c>
      <c r="E305" s="21" t="s">
        <v>1379</v>
      </c>
      <c r="F305" s="21" t="s">
        <v>1298</v>
      </c>
      <c r="G305" s="21" t="s">
        <v>1305</v>
      </c>
      <c r="H305" s="21" t="s">
        <v>1306</v>
      </c>
      <c r="I305" s="22">
        <f>DATE(2024,7,1)</f>
        <v>45474</v>
      </c>
      <c r="J305" s="22">
        <f>DATE(2024,7,1)</f>
        <v>45474</v>
      </c>
      <c r="K305" s="22">
        <f>DATE(2025,6,30)</f>
        <v>45838</v>
      </c>
      <c r="L305" s="21" t="s">
        <v>1307</v>
      </c>
      <c r="M305" s="21" t="s">
        <v>1302</v>
      </c>
    </row>
    <row r="306" spans="1:13" x14ac:dyDescent="0.25">
      <c r="A306" s="21" t="s">
        <v>1930</v>
      </c>
      <c r="B306" s="21" t="s">
        <v>1931</v>
      </c>
      <c r="C306" s="21" t="s">
        <v>1296</v>
      </c>
      <c r="D306" s="21" t="s">
        <v>1297</v>
      </c>
      <c r="E306" s="21" t="s">
        <v>1379</v>
      </c>
      <c r="F306" s="21" t="s">
        <v>1298</v>
      </c>
      <c r="G306" s="21" t="s">
        <v>1305</v>
      </c>
      <c r="H306" s="21" t="s">
        <v>1316</v>
      </c>
      <c r="I306" s="22">
        <f>DATE(2024,5,13)</f>
        <v>45425</v>
      </c>
      <c r="J306" s="22">
        <f>DATE(2024,5,13)</f>
        <v>45425</v>
      </c>
      <c r="K306" s="22">
        <f>DATE(2029,5,13)</f>
        <v>47251</v>
      </c>
      <c r="L306" s="21" t="s">
        <v>1307</v>
      </c>
      <c r="M306" s="21" t="s">
        <v>1302</v>
      </c>
    </row>
    <row r="307" spans="1:13" x14ac:dyDescent="0.25">
      <c r="A307" s="21" t="s">
        <v>1932</v>
      </c>
      <c r="B307" s="21" t="s">
        <v>1933</v>
      </c>
      <c r="C307" s="21" t="s">
        <v>1296</v>
      </c>
      <c r="D307" s="21" t="s">
        <v>1297</v>
      </c>
      <c r="E307" s="21" t="s">
        <v>1379</v>
      </c>
      <c r="F307" s="21" t="s">
        <v>1298</v>
      </c>
      <c r="G307" s="21" t="s">
        <v>1305</v>
      </c>
      <c r="H307" s="21" t="s">
        <v>1316</v>
      </c>
      <c r="I307" s="22">
        <f>DATE(2023,10,20)</f>
        <v>45219</v>
      </c>
      <c r="J307" s="22">
        <f>DATE(2023,10,20)</f>
        <v>45219</v>
      </c>
      <c r="K307" s="22">
        <f>DATE(2028,10,20)</f>
        <v>47046</v>
      </c>
      <c r="L307" s="21" t="s">
        <v>1307</v>
      </c>
      <c r="M307" s="21" t="s">
        <v>1302</v>
      </c>
    </row>
    <row r="308" spans="1:13" x14ac:dyDescent="0.25">
      <c r="A308" s="21" t="s">
        <v>1934</v>
      </c>
      <c r="B308" s="21" t="s">
        <v>1935</v>
      </c>
      <c r="C308" s="21" t="s">
        <v>1296</v>
      </c>
      <c r="D308" s="21" t="s">
        <v>1297</v>
      </c>
      <c r="E308" s="21" t="s">
        <v>1379</v>
      </c>
      <c r="F308" s="21" t="s">
        <v>1298</v>
      </c>
      <c r="G308" s="21" t="s">
        <v>1305</v>
      </c>
      <c r="H308" s="21" t="s">
        <v>1306</v>
      </c>
      <c r="I308" s="22">
        <f>DATE(2024,1,17)</f>
        <v>45308</v>
      </c>
      <c r="J308" s="22">
        <f>DATE(2024,1,17)</f>
        <v>45308</v>
      </c>
      <c r="K308" s="22">
        <f>DATE(2025,1,1)</f>
        <v>45658</v>
      </c>
      <c r="L308" s="21" t="s">
        <v>1307</v>
      </c>
      <c r="M308" s="21" t="s">
        <v>1302</v>
      </c>
    </row>
    <row r="309" spans="1:13" x14ac:dyDescent="0.25">
      <c r="A309" s="21" t="s">
        <v>1936</v>
      </c>
      <c r="B309" s="21" t="s">
        <v>1937</v>
      </c>
      <c r="C309" s="21" t="s">
        <v>1296</v>
      </c>
      <c r="D309" s="21" t="s">
        <v>1297</v>
      </c>
      <c r="E309" s="21" t="s">
        <v>1379</v>
      </c>
      <c r="F309" s="21" t="s">
        <v>1298</v>
      </c>
      <c r="G309" s="21" t="s">
        <v>1305</v>
      </c>
      <c r="H309" s="21" t="s">
        <v>1316</v>
      </c>
      <c r="I309" s="22">
        <f>DATE(2021,4,9)</f>
        <v>44295</v>
      </c>
      <c r="J309" s="22">
        <f>DATE(2021,4,9)</f>
        <v>44295</v>
      </c>
      <c r="K309" s="22">
        <f>DATE(2026,4,9)</f>
        <v>46121</v>
      </c>
      <c r="L309" s="21" t="s">
        <v>1301</v>
      </c>
      <c r="M309" s="21" t="s">
        <v>1302</v>
      </c>
    </row>
    <row r="310" spans="1:13" x14ac:dyDescent="0.25">
      <c r="A310" s="21" t="s">
        <v>1938</v>
      </c>
      <c r="B310" s="21" t="s">
        <v>1939</v>
      </c>
      <c r="C310" s="21" t="s">
        <v>1296</v>
      </c>
      <c r="D310" s="21" t="s">
        <v>1297</v>
      </c>
      <c r="E310" s="21" t="s">
        <v>1379</v>
      </c>
      <c r="F310" s="21" t="s">
        <v>1298</v>
      </c>
      <c r="G310" s="21" t="s">
        <v>1305</v>
      </c>
      <c r="H310" s="21" t="s">
        <v>1386</v>
      </c>
      <c r="I310" s="22">
        <f>DATE(2019,6,17)</f>
        <v>43633</v>
      </c>
      <c r="J310" s="22">
        <f>DATE(2019,6,17)</f>
        <v>43633</v>
      </c>
      <c r="K310" s="22">
        <f>DATE(2024,6,17)</f>
        <v>45460</v>
      </c>
      <c r="L310" s="21" t="s">
        <v>1301</v>
      </c>
      <c r="M310" s="21" t="s">
        <v>1302</v>
      </c>
    </row>
    <row r="311" spans="1:13" x14ac:dyDescent="0.25">
      <c r="A311" s="21" t="s">
        <v>1940</v>
      </c>
      <c r="B311" s="21" t="s">
        <v>1941</v>
      </c>
      <c r="C311" s="21" t="s">
        <v>1296</v>
      </c>
      <c r="D311" s="21" t="s">
        <v>1297</v>
      </c>
      <c r="E311" s="21" t="s">
        <v>1379</v>
      </c>
      <c r="F311" s="21" t="s">
        <v>1298</v>
      </c>
      <c r="G311" s="21" t="s">
        <v>1299</v>
      </c>
      <c r="H311" s="21" t="s">
        <v>1316</v>
      </c>
      <c r="I311" s="22">
        <f>DATE(2019,11,22)</f>
        <v>43791</v>
      </c>
      <c r="J311" s="22">
        <f>DATE(2019,11,22)</f>
        <v>43791</v>
      </c>
      <c r="K311" s="22">
        <f>DATE(2024,11,22)</f>
        <v>45618</v>
      </c>
      <c r="L311" s="21" t="s">
        <v>1301</v>
      </c>
      <c r="M311" s="21" t="s">
        <v>1302</v>
      </c>
    </row>
    <row r="312" spans="1:13" x14ac:dyDescent="0.25">
      <c r="A312" s="21" t="s">
        <v>1942</v>
      </c>
      <c r="B312" s="21" t="s">
        <v>1943</v>
      </c>
      <c r="C312" s="21" t="s">
        <v>1296</v>
      </c>
      <c r="D312" s="21" t="s">
        <v>1297</v>
      </c>
      <c r="E312" s="21" t="s">
        <v>1379</v>
      </c>
      <c r="F312" s="21" t="s">
        <v>1298</v>
      </c>
      <c r="G312" s="21" t="s">
        <v>1305</v>
      </c>
      <c r="H312" s="21" t="s">
        <v>1306</v>
      </c>
      <c r="I312" s="22">
        <f>DATE(2023,12,19)</f>
        <v>45279</v>
      </c>
      <c r="J312" s="22">
        <f>DATE(2023,12,19)</f>
        <v>45279</v>
      </c>
      <c r="K312" s="22">
        <f>DATE(2025,1,1)</f>
        <v>45658</v>
      </c>
      <c r="L312" s="21" t="s">
        <v>1307</v>
      </c>
      <c r="M312" s="21" t="s">
        <v>1302</v>
      </c>
    </row>
    <row r="313" spans="1:13" x14ac:dyDescent="0.25">
      <c r="A313" s="21" t="s">
        <v>1944</v>
      </c>
      <c r="B313" s="21" t="s">
        <v>1945</v>
      </c>
      <c r="C313" s="21" t="s">
        <v>1296</v>
      </c>
      <c r="D313" s="21" t="s">
        <v>1297</v>
      </c>
      <c r="E313" s="21" t="s">
        <v>1379</v>
      </c>
      <c r="F313" s="21" t="s">
        <v>1298</v>
      </c>
      <c r="G313" s="21" t="s">
        <v>1305</v>
      </c>
      <c r="H313" s="21" t="s">
        <v>1306</v>
      </c>
      <c r="I313" s="22">
        <f>DATE(2023,11,22)</f>
        <v>45252</v>
      </c>
      <c r="J313" s="22">
        <f>DATE(2023,11,22)</f>
        <v>45252</v>
      </c>
      <c r="K313" s="22">
        <f>DATE(2024,11,22)</f>
        <v>45618</v>
      </c>
      <c r="L313" s="21" t="s">
        <v>1307</v>
      </c>
      <c r="M313" s="21" t="s">
        <v>1302</v>
      </c>
    </row>
    <row r="314" spans="1:13" x14ac:dyDescent="0.25">
      <c r="A314" s="21" t="s">
        <v>1946</v>
      </c>
      <c r="B314" s="21" t="s">
        <v>1947</v>
      </c>
      <c r="C314" s="21" t="s">
        <v>1296</v>
      </c>
      <c r="D314" s="21" t="s">
        <v>1297</v>
      </c>
      <c r="E314" s="21" t="s">
        <v>1379</v>
      </c>
      <c r="F314" s="21" t="s">
        <v>1298</v>
      </c>
      <c r="G314" s="21" t="s">
        <v>1299</v>
      </c>
      <c r="H314" s="21" t="s">
        <v>1306</v>
      </c>
      <c r="I314" s="22">
        <f>DATE(2024,11,22)</f>
        <v>45618</v>
      </c>
      <c r="J314" s="22">
        <f>DATE(2024,11,22)</f>
        <v>45618</v>
      </c>
      <c r="K314" s="22">
        <f>DATE(2024,11,22)</f>
        <v>45618</v>
      </c>
      <c r="L314" s="21" t="s">
        <v>1307</v>
      </c>
      <c r="M314" s="21" t="s">
        <v>1302</v>
      </c>
    </row>
    <row r="315" spans="1:13" x14ac:dyDescent="0.25">
      <c r="A315" s="21" t="s">
        <v>1948</v>
      </c>
      <c r="B315" s="21" t="s">
        <v>1949</v>
      </c>
      <c r="C315" s="21" t="s">
        <v>1296</v>
      </c>
      <c r="D315" s="21" t="s">
        <v>1297</v>
      </c>
      <c r="E315" s="21" t="s">
        <v>1379</v>
      </c>
      <c r="F315" s="21" t="s">
        <v>1298</v>
      </c>
      <c r="G315" s="21" t="s">
        <v>1305</v>
      </c>
      <c r="H315" s="21" t="s">
        <v>1300</v>
      </c>
      <c r="I315" s="22">
        <f>DATE(2024,6,21)</f>
        <v>45464</v>
      </c>
      <c r="J315" s="22">
        <f>DATE(2024,6,21)</f>
        <v>45464</v>
      </c>
      <c r="K315" s="22">
        <f>DATE(2029,6,21)</f>
        <v>47290</v>
      </c>
      <c r="L315" s="21" t="s">
        <v>1307</v>
      </c>
      <c r="M315" s="21" t="s">
        <v>1302</v>
      </c>
    </row>
    <row r="316" spans="1:13" x14ac:dyDescent="0.25">
      <c r="A316" s="21" t="s">
        <v>1950</v>
      </c>
      <c r="B316" s="21" t="s">
        <v>1951</v>
      </c>
      <c r="C316" s="21" t="s">
        <v>1296</v>
      </c>
      <c r="D316" s="21" t="s">
        <v>1297</v>
      </c>
      <c r="E316" s="21" t="s">
        <v>1379</v>
      </c>
      <c r="F316" s="21" t="s">
        <v>1298</v>
      </c>
      <c r="G316" s="21" t="s">
        <v>1305</v>
      </c>
      <c r="H316" s="21" t="s">
        <v>1306</v>
      </c>
      <c r="I316" s="22">
        <f>DATE(2023,12,19)</f>
        <v>45279</v>
      </c>
      <c r="J316" s="22">
        <f>DATE(2023,12,19)</f>
        <v>45279</v>
      </c>
      <c r="K316" s="22">
        <f>DATE(2025,1,1)</f>
        <v>45658</v>
      </c>
      <c r="L316" s="21" t="s">
        <v>1307</v>
      </c>
      <c r="M316" s="21" t="s">
        <v>1302</v>
      </c>
    </row>
    <row r="317" spans="1:13" x14ac:dyDescent="0.25">
      <c r="A317" s="21" t="s">
        <v>1952</v>
      </c>
      <c r="B317" s="21" t="s">
        <v>1953</v>
      </c>
      <c r="C317" s="21" t="s">
        <v>1296</v>
      </c>
      <c r="D317" s="21" t="s">
        <v>1297</v>
      </c>
      <c r="E317" s="21" t="s">
        <v>1379</v>
      </c>
      <c r="F317" s="21" t="s">
        <v>1298</v>
      </c>
      <c r="G317" s="21" t="s">
        <v>1305</v>
      </c>
      <c r="H317" s="21" t="s">
        <v>1316</v>
      </c>
      <c r="I317" s="22">
        <f>DATE(2024,9,27)</f>
        <v>45562</v>
      </c>
      <c r="J317" s="22">
        <f>DATE(2024,9,27)</f>
        <v>45562</v>
      </c>
      <c r="K317" s="22">
        <f>DATE(2029,9,27)</f>
        <v>47388</v>
      </c>
      <c r="L317" s="21" t="s">
        <v>1307</v>
      </c>
      <c r="M317" s="21" t="s">
        <v>1302</v>
      </c>
    </row>
    <row r="318" spans="1:13" x14ac:dyDescent="0.25">
      <c r="A318" s="21" t="s">
        <v>1954</v>
      </c>
      <c r="B318" s="21" t="s">
        <v>1955</v>
      </c>
      <c r="C318" s="21" t="s">
        <v>1296</v>
      </c>
      <c r="D318" s="21" t="s">
        <v>1297</v>
      </c>
      <c r="E318" s="21" t="s">
        <v>1379</v>
      </c>
      <c r="F318" s="21" t="s">
        <v>1298</v>
      </c>
      <c r="G318" s="21" t="s">
        <v>1305</v>
      </c>
      <c r="H318" s="21" t="s">
        <v>1306</v>
      </c>
      <c r="I318" s="22">
        <f>DATE(2023,12,19)</f>
        <v>45279</v>
      </c>
      <c r="J318" s="22">
        <f>DATE(2023,12,19)</f>
        <v>45279</v>
      </c>
      <c r="K318" s="22">
        <f>DATE(2025,1,1)</f>
        <v>45658</v>
      </c>
      <c r="L318" s="21" t="s">
        <v>1307</v>
      </c>
      <c r="M318" s="21" t="s">
        <v>1302</v>
      </c>
    </row>
    <row r="319" spans="1:13" x14ac:dyDescent="0.25">
      <c r="A319" s="21" t="s">
        <v>1956</v>
      </c>
      <c r="B319" s="21" t="s">
        <v>1957</v>
      </c>
      <c r="C319" s="21" t="s">
        <v>1296</v>
      </c>
      <c r="D319" s="21" t="s">
        <v>1297</v>
      </c>
      <c r="E319" s="21" t="s">
        <v>1379</v>
      </c>
      <c r="F319" s="21" t="s">
        <v>1298</v>
      </c>
      <c r="G319" s="21" t="s">
        <v>1305</v>
      </c>
      <c r="H319" s="21" t="s">
        <v>1306</v>
      </c>
      <c r="I319" s="22">
        <f>DATE(2024,3,18)</f>
        <v>45369</v>
      </c>
      <c r="J319" s="22">
        <f>DATE(2024,3,18)</f>
        <v>45369</v>
      </c>
      <c r="K319" s="22">
        <f>DATE(2025,1,1)</f>
        <v>45658</v>
      </c>
      <c r="L319" s="21" t="s">
        <v>1307</v>
      </c>
      <c r="M319" s="21" t="s">
        <v>1302</v>
      </c>
    </row>
    <row r="320" spans="1:13" x14ac:dyDescent="0.25">
      <c r="A320" s="21" t="s">
        <v>1958</v>
      </c>
      <c r="B320" s="21" t="s">
        <v>1959</v>
      </c>
      <c r="C320" s="21" t="s">
        <v>1296</v>
      </c>
      <c r="D320" s="21" t="s">
        <v>1297</v>
      </c>
      <c r="E320" s="21" t="s">
        <v>1379</v>
      </c>
      <c r="F320" s="21" t="s">
        <v>1298</v>
      </c>
      <c r="G320" s="21" t="s">
        <v>1305</v>
      </c>
      <c r="H320" s="21" t="s">
        <v>1306</v>
      </c>
      <c r="I320" s="22">
        <f>DATE(2023,12,19)</f>
        <v>45279</v>
      </c>
      <c r="J320" s="22">
        <f>DATE(2023,12,19)</f>
        <v>45279</v>
      </c>
      <c r="K320" s="22">
        <f>DATE(2025,1,1)</f>
        <v>45658</v>
      </c>
      <c r="L320" s="21" t="s">
        <v>1307</v>
      </c>
      <c r="M320" s="21" t="s">
        <v>1302</v>
      </c>
    </row>
    <row r="321" spans="1:13" x14ac:dyDescent="0.25">
      <c r="A321" s="21" t="s">
        <v>1960</v>
      </c>
      <c r="B321" s="21" t="s">
        <v>1961</v>
      </c>
      <c r="C321" s="21" t="s">
        <v>1296</v>
      </c>
      <c r="D321" s="21" t="s">
        <v>1297</v>
      </c>
      <c r="E321" s="21" t="s">
        <v>1379</v>
      </c>
      <c r="F321" s="21" t="s">
        <v>1298</v>
      </c>
      <c r="G321" s="21" t="s">
        <v>1305</v>
      </c>
      <c r="H321" s="21" t="s">
        <v>1306</v>
      </c>
      <c r="I321" s="22">
        <f>DATE(2023,12,19)</f>
        <v>45279</v>
      </c>
      <c r="J321" s="22">
        <f>DATE(2023,12,19)</f>
        <v>45279</v>
      </c>
      <c r="K321" s="22">
        <f>DATE(2025,1,1)</f>
        <v>45658</v>
      </c>
      <c r="L321" s="21" t="s">
        <v>1307</v>
      </c>
      <c r="M321" s="21" t="s">
        <v>1302</v>
      </c>
    </row>
    <row r="322" spans="1:13" x14ac:dyDescent="0.25">
      <c r="A322" s="21" t="s">
        <v>1962</v>
      </c>
      <c r="B322" s="21" t="s">
        <v>1963</v>
      </c>
      <c r="C322" s="21" t="s">
        <v>1296</v>
      </c>
      <c r="D322" s="21" t="s">
        <v>1297</v>
      </c>
      <c r="E322" s="21" t="s">
        <v>1379</v>
      </c>
      <c r="F322" s="21" t="s">
        <v>1298</v>
      </c>
      <c r="G322" s="21" t="s">
        <v>1305</v>
      </c>
      <c r="H322" s="21" t="s">
        <v>1306</v>
      </c>
      <c r="I322" s="22">
        <f>DATE(2024,11,6)</f>
        <v>45602</v>
      </c>
      <c r="J322" s="22">
        <f>DATE(2024,11,6)</f>
        <v>45602</v>
      </c>
      <c r="K322" s="22">
        <f>DATE(2025,11,1)</f>
        <v>45962</v>
      </c>
      <c r="L322" s="21" t="s">
        <v>1307</v>
      </c>
      <c r="M322" s="21" t="s">
        <v>1302</v>
      </c>
    </row>
    <row r="323" spans="1:13" x14ac:dyDescent="0.25">
      <c r="A323" s="21" t="s">
        <v>1964</v>
      </c>
      <c r="B323" s="21" t="s">
        <v>1965</v>
      </c>
      <c r="C323" s="21" t="s">
        <v>1296</v>
      </c>
      <c r="D323" s="21" t="s">
        <v>1297</v>
      </c>
      <c r="E323" s="21" t="s">
        <v>1379</v>
      </c>
      <c r="F323" s="21" t="s">
        <v>1298</v>
      </c>
      <c r="G323" s="21" t="s">
        <v>1305</v>
      </c>
      <c r="H323" s="21" t="s">
        <v>1300</v>
      </c>
      <c r="I323" s="22">
        <f>DATE(2021,9,13)</f>
        <v>44452</v>
      </c>
      <c r="J323" s="22">
        <f>DATE(2021,9,13)</f>
        <v>44452</v>
      </c>
      <c r="K323" s="22">
        <f>DATE(2026,9,13)</f>
        <v>46278</v>
      </c>
      <c r="L323" s="21" t="s">
        <v>1301</v>
      </c>
      <c r="M323" s="21" t="s">
        <v>1302</v>
      </c>
    </row>
    <row r="324" spans="1:13" x14ac:dyDescent="0.25">
      <c r="A324" s="21" t="s">
        <v>1966</v>
      </c>
      <c r="B324" s="21" t="s">
        <v>1967</v>
      </c>
      <c r="C324" s="21" t="s">
        <v>1296</v>
      </c>
      <c r="D324" s="21" t="s">
        <v>1297</v>
      </c>
      <c r="E324" s="21" t="s">
        <v>1379</v>
      </c>
      <c r="F324" s="21" t="s">
        <v>1298</v>
      </c>
      <c r="G324" s="21" t="s">
        <v>1305</v>
      </c>
      <c r="H324" s="21" t="s">
        <v>1316</v>
      </c>
      <c r="I324" s="22">
        <f>DATE(2024,8,2)</f>
        <v>45506</v>
      </c>
      <c r="J324" s="22">
        <f>DATE(2024,8,2)</f>
        <v>45506</v>
      </c>
      <c r="K324" s="22">
        <f>DATE(2029,8,2)</f>
        <v>47332</v>
      </c>
      <c r="L324" s="21" t="s">
        <v>1307</v>
      </c>
      <c r="M324" s="21" t="s">
        <v>1302</v>
      </c>
    </row>
    <row r="325" spans="1:13" x14ac:dyDescent="0.25">
      <c r="A325" s="21" t="s">
        <v>1968</v>
      </c>
      <c r="B325" s="21" t="s">
        <v>1969</v>
      </c>
      <c r="C325" s="21" t="s">
        <v>1296</v>
      </c>
      <c r="D325" s="21" t="s">
        <v>1297</v>
      </c>
      <c r="E325" s="21" t="s">
        <v>1379</v>
      </c>
      <c r="F325" s="21" t="s">
        <v>1298</v>
      </c>
      <c r="G325" s="21" t="s">
        <v>1299</v>
      </c>
      <c r="H325" s="21" t="s">
        <v>1306</v>
      </c>
      <c r="I325" s="22">
        <f>DATE(2022,1,20)</f>
        <v>44581</v>
      </c>
      <c r="J325" s="22">
        <f>DATE(2022,1,20)</f>
        <v>44581</v>
      </c>
      <c r="K325" s="22">
        <f>DATE(2023,1,1)</f>
        <v>44927</v>
      </c>
      <c r="L325" s="21" t="s">
        <v>1301</v>
      </c>
      <c r="M325" s="21" t="s">
        <v>1360</v>
      </c>
    </row>
    <row r="326" spans="1:13" x14ac:dyDescent="0.25">
      <c r="A326" s="21" t="s">
        <v>1970</v>
      </c>
      <c r="B326" s="21" t="s">
        <v>1971</v>
      </c>
      <c r="C326" s="21" t="s">
        <v>1296</v>
      </c>
      <c r="D326" s="21" t="s">
        <v>1297</v>
      </c>
      <c r="E326" s="21" t="s">
        <v>1379</v>
      </c>
      <c r="F326" s="21" t="s">
        <v>1298</v>
      </c>
      <c r="G326" s="21" t="s">
        <v>1299</v>
      </c>
      <c r="H326" s="21" t="s">
        <v>1306</v>
      </c>
      <c r="I326" s="22">
        <f>DATE(2022,1,20)</f>
        <v>44581</v>
      </c>
      <c r="J326" s="22">
        <f>DATE(2022,1,20)</f>
        <v>44581</v>
      </c>
      <c r="K326" s="22">
        <f>DATE(2023,1,1)</f>
        <v>44927</v>
      </c>
      <c r="L326" s="21" t="s">
        <v>1301</v>
      </c>
      <c r="M326" s="21" t="s">
        <v>1360</v>
      </c>
    </row>
    <row r="327" spans="1:13" x14ac:dyDescent="0.25">
      <c r="A327" s="21" t="s">
        <v>1972</v>
      </c>
      <c r="B327" s="21" t="s">
        <v>1973</v>
      </c>
      <c r="C327" s="21" t="s">
        <v>1359</v>
      </c>
      <c r="D327" s="21" t="s">
        <v>1297</v>
      </c>
      <c r="E327" s="21" t="s">
        <v>1379</v>
      </c>
      <c r="F327" s="21" t="s">
        <v>1298</v>
      </c>
      <c r="G327" s="21" t="s">
        <v>1305</v>
      </c>
      <c r="H327" s="21" t="s">
        <v>1316</v>
      </c>
      <c r="I327" s="22">
        <f>DATE(2024,7,29)</f>
        <v>45502</v>
      </c>
      <c r="J327" s="22">
        <f>DATE(2024,7,29)</f>
        <v>45502</v>
      </c>
      <c r="K327" s="22">
        <f>DATE(2029,7,29)</f>
        <v>47328</v>
      </c>
      <c r="L327" s="21" t="s">
        <v>1307</v>
      </c>
      <c r="M327" s="21" t="s">
        <v>1360</v>
      </c>
    </row>
    <row r="328" spans="1:13" x14ac:dyDescent="0.25">
      <c r="A328" s="21" t="s">
        <v>1974</v>
      </c>
      <c r="B328" s="21" t="s">
        <v>1975</v>
      </c>
      <c r="C328" s="21" t="s">
        <v>1296</v>
      </c>
      <c r="D328" s="21" t="s">
        <v>1297</v>
      </c>
      <c r="E328" s="21" t="s">
        <v>1379</v>
      </c>
      <c r="F328" s="21" t="s">
        <v>1298</v>
      </c>
      <c r="G328" s="21" t="s">
        <v>1305</v>
      </c>
      <c r="H328" s="21" t="s">
        <v>1300</v>
      </c>
      <c r="I328" s="22">
        <f>DATE(2020,1,16)</f>
        <v>43846</v>
      </c>
      <c r="J328" s="22">
        <f>DATE(2020,1,16)</f>
        <v>43846</v>
      </c>
      <c r="K328" s="22">
        <f>DATE(2025,1,16)</f>
        <v>45673</v>
      </c>
      <c r="L328" s="21" t="s">
        <v>1301</v>
      </c>
      <c r="M328" s="21" t="s">
        <v>1360</v>
      </c>
    </row>
    <row r="329" spans="1:13" x14ac:dyDescent="0.25">
      <c r="A329" s="21" t="s">
        <v>1976</v>
      </c>
      <c r="B329" s="21" t="s">
        <v>1977</v>
      </c>
      <c r="C329" s="21" t="s">
        <v>1359</v>
      </c>
      <c r="D329" s="21" t="s">
        <v>1297</v>
      </c>
      <c r="E329" s="21" t="s">
        <v>1379</v>
      </c>
      <c r="F329" s="21" t="s">
        <v>1298</v>
      </c>
      <c r="G329" s="21" t="s">
        <v>1305</v>
      </c>
      <c r="H329" s="21" t="s">
        <v>1316</v>
      </c>
      <c r="I329" s="22">
        <f>DATE(2024,11,7)</f>
        <v>45603</v>
      </c>
      <c r="J329" s="22">
        <f>DATE(2024,11,7)</f>
        <v>45603</v>
      </c>
      <c r="K329" s="22">
        <f>DATE(2029,11,7)</f>
        <v>47429</v>
      </c>
      <c r="L329" s="21" t="s">
        <v>1307</v>
      </c>
      <c r="M329" s="21" t="s">
        <v>1360</v>
      </c>
    </row>
    <row r="330" spans="1:13" x14ac:dyDescent="0.25">
      <c r="A330" s="21" t="s">
        <v>1978</v>
      </c>
      <c r="B330" s="21" t="s">
        <v>1979</v>
      </c>
      <c r="C330" s="21" t="s">
        <v>1296</v>
      </c>
      <c r="D330" s="21" t="s">
        <v>1297</v>
      </c>
      <c r="E330" s="21" t="s">
        <v>1379</v>
      </c>
      <c r="F330" s="21" t="s">
        <v>1481</v>
      </c>
      <c r="G330" s="21" t="s">
        <v>1305</v>
      </c>
      <c r="H330" s="21" t="s">
        <v>1386</v>
      </c>
      <c r="I330" s="22">
        <f>DATE(2019,11,27)</f>
        <v>43796</v>
      </c>
      <c r="J330" s="22">
        <f>DATE(2019,11,27)</f>
        <v>43796</v>
      </c>
      <c r="K330" s="22">
        <f>DATE(2024,11,27)</f>
        <v>45623</v>
      </c>
      <c r="L330" s="21" t="s">
        <v>1301</v>
      </c>
      <c r="M330" s="21" t="s">
        <v>1302</v>
      </c>
    </row>
    <row r="331" spans="1:13" x14ac:dyDescent="0.25">
      <c r="A331" s="21" t="s">
        <v>1980</v>
      </c>
      <c r="B331" s="21" t="s">
        <v>1981</v>
      </c>
      <c r="C331" s="21" t="s">
        <v>1296</v>
      </c>
      <c r="D331" s="21" t="s">
        <v>1297</v>
      </c>
      <c r="E331" s="21" t="s">
        <v>1379</v>
      </c>
      <c r="F331" s="21" t="s">
        <v>1481</v>
      </c>
      <c r="G331" s="21" t="s">
        <v>1299</v>
      </c>
      <c r="H331" s="21" t="s">
        <v>1386</v>
      </c>
      <c r="I331" s="22">
        <f>DATE(2019,12,3)</f>
        <v>43802</v>
      </c>
      <c r="J331" s="22">
        <f>DATE(2019,12,3)</f>
        <v>43802</v>
      </c>
      <c r="K331" s="22">
        <f>DATE(2024,12,3)</f>
        <v>45629</v>
      </c>
      <c r="L331" s="21" t="s">
        <v>1301</v>
      </c>
      <c r="M331" s="21" t="s">
        <v>1302</v>
      </c>
    </row>
    <row r="332" spans="1:13" x14ac:dyDescent="0.25">
      <c r="A332" s="21" t="s">
        <v>1982</v>
      </c>
      <c r="B332" s="21" t="s">
        <v>1983</v>
      </c>
      <c r="C332" s="21" t="s">
        <v>1359</v>
      </c>
      <c r="D332" s="21" t="s">
        <v>1297</v>
      </c>
      <c r="E332" s="21" t="s">
        <v>1379</v>
      </c>
      <c r="F332" s="21" t="s">
        <v>1481</v>
      </c>
      <c r="G332" s="21" t="s">
        <v>1299</v>
      </c>
      <c r="H332" s="21" t="s">
        <v>1297</v>
      </c>
      <c r="I332" s="22">
        <f>DATE(1900,1,1)</f>
        <v>1</v>
      </c>
      <c r="J332" s="22">
        <f>DATE(1900,1,1)</f>
        <v>1</v>
      </c>
      <c r="K332" s="22">
        <f>DATE(1900,1,1)</f>
        <v>1</v>
      </c>
      <c r="L332" s="21" t="s">
        <v>1297</v>
      </c>
      <c r="M332" s="21" t="s">
        <v>1302</v>
      </c>
    </row>
    <row r="333" spans="1:13" x14ac:dyDescent="0.25">
      <c r="A333" s="21" t="s">
        <v>1984</v>
      </c>
      <c r="B333" s="21" t="s">
        <v>1985</v>
      </c>
      <c r="C333" s="21" t="s">
        <v>1296</v>
      </c>
      <c r="D333" s="21" t="s">
        <v>1297</v>
      </c>
      <c r="E333" s="21" t="s">
        <v>1379</v>
      </c>
      <c r="F333" s="21" t="s">
        <v>1481</v>
      </c>
      <c r="G333" s="21" t="s">
        <v>1299</v>
      </c>
      <c r="H333" s="21" t="s">
        <v>1306</v>
      </c>
      <c r="I333" s="22">
        <f>DATE(2024,9,27)</f>
        <v>45562</v>
      </c>
      <c r="J333" s="22">
        <f>DATE(2024,9,20)</f>
        <v>45555</v>
      </c>
      <c r="K333" s="22">
        <f>DATE(2025,10,2)</f>
        <v>45932</v>
      </c>
      <c r="L333" s="21" t="s">
        <v>1307</v>
      </c>
      <c r="M333" s="21" t="s">
        <v>1302</v>
      </c>
    </row>
    <row r="334" spans="1:13" x14ac:dyDescent="0.25">
      <c r="A334" s="21" t="s">
        <v>1986</v>
      </c>
      <c r="B334" s="21" t="s">
        <v>1987</v>
      </c>
      <c r="C334" s="21" t="s">
        <v>1359</v>
      </c>
      <c r="D334" s="21" t="s">
        <v>1297</v>
      </c>
      <c r="E334" s="21" t="s">
        <v>1379</v>
      </c>
      <c r="F334" s="21" t="s">
        <v>1481</v>
      </c>
      <c r="G334" s="21" t="s">
        <v>1299</v>
      </c>
      <c r="H334" s="21" t="s">
        <v>1297</v>
      </c>
      <c r="I334" s="22">
        <f>DATE(1900,1,1)</f>
        <v>1</v>
      </c>
      <c r="J334" s="22">
        <f>DATE(1900,1,1)</f>
        <v>1</v>
      </c>
      <c r="K334" s="22">
        <f>DATE(1900,1,1)</f>
        <v>1</v>
      </c>
      <c r="L334" s="21" t="s">
        <v>1297</v>
      </c>
      <c r="M334" s="21" t="s">
        <v>1302</v>
      </c>
    </row>
    <row r="335" spans="1:13" x14ac:dyDescent="0.25">
      <c r="A335" s="21" t="s">
        <v>1988</v>
      </c>
      <c r="B335" s="21" t="s">
        <v>1989</v>
      </c>
      <c r="C335" s="21" t="s">
        <v>1296</v>
      </c>
      <c r="D335" s="21" t="s">
        <v>1297</v>
      </c>
      <c r="E335" s="21" t="s">
        <v>1379</v>
      </c>
      <c r="F335" s="21" t="s">
        <v>1481</v>
      </c>
      <c r="G335" s="21" t="s">
        <v>1299</v>
      </c>
      <c r="H335" s="21" t="s">
        <v>1300</v>
      </c>
      <c r="I335" s="22">
        <f>DATE(2023,11,8)</f>
        <v>45238</v>
      </c>
      <c r="J335" s="22">
        <f>DATE(2023,11,8)</f>
        <v>45238</v>
      </c>
      <c r="K335" s="22">
        <f>DATE(2028,11,8)</f>
        <v>47065</v>
      </c>
      <c r="L335" s="21" t="s">
        <v>1307</v>
      </c>
      <c r="M335" s="21" t="s">
        <v>1302</v>
      </c>
    </row>
    <row r="336" spans="1:13" x14ac:dyDescent="0.25">
      <c r="A336" s="21" t="s">
        <v>1990</v>
      </c>
      <c r="B336" s="21" t="s">
        <v>1991</v>
      </c>
      <c r="C336" s="21" t="s">
        <v>1296</v>
      </c>
      <c r="D336" s="21" t="s">
        <v>1297</v>
      </c>
      <c r="E336" s="21" t="s">
        <v>1379</v>
      </c>
      <c r="F336" s="21" t="s">
        <v>1481</v>
      </c>
      <c r="G336" s="21" t="s">
        <v>1299</v>
      </c>
      <c r="H336" s="21" t="s">
        <v>1300</v>
      </c>
      <c r="I336" s="22">
        <f>DATE(2021,3,2)</f>
        <v>44257</v>
      </c>
      <c r="J336" s="22">
        <f>DATE(2021,3,2)</f>
        <v>44257</v>
      </c>
      <c r="K336" s="22">
        <f>DATE(2026,3,2)</f>
        <v>46083</v>
      </c>
      <c r="L336" s="21" t="s">
        <v>1301</v>
      </c>
      <c r="M336" s="21" t="s">
        <v>1302</v>
      </c>
    </row>
    <row r="337" spans="1:13" x14ac:dyDescent="0.25">
      <c r="A337" s="21" t="s">
        <v>1992</v>
      </c>
      <c r="B337" s="21" t="s">
        <v>1993</v>
      </c>
      <c r="C337" s="21" t="s">
        <v>1296</v>
      </c>
      <c r="D337" s="21" t="s">
        <v>1297</v>
      </c>
      <c r="E337" s="21" t="s">
        <v>1379</v>
      </c>
      <c r="F337" s="21" t="s">
        <v>1481</v>
      </c>
      <c r="G337" s="21" t="s">
        <v>1299</v>
      </c>
      <c r="H337" s="21" t="s">
        <v>1300</v>
      </c>
      <c r="I337" s="22">
        <f>DATE(2020,9,9)</f>
        <v>44083</v>
      </c>
      <c r="J337" s="22">
        <f>DATE(2020,9,9)</f>
        <v>44083</v>
      </c>
      <c r="K337" s="22">
        <f>DATE(2025,9,9)</f>
        <v>45909</v>
      </c>
      <c r="L337" s="21" t="s">
        <v>1301</v>
      </c>
      <c r="M337" s="21" t="s">
        <v>1302</v>
      </c>
    </row>
    <row r="338" spans="1:13" x14ac:dyDescent="0.25">
      <c r="A338" s="21" t="s">
        <v>1994</v>
      </c>
      <c r="B338" s="21" t="s">
        <v>1995</v>
      </c>
      <c r="C338" s="21" t="s">
        <v>1296</v>
      </c>
      <c r="D338" s="21" t="s">
        <v>1297</v>
      </c>
      <c r="E338" s="21" t="s">
        <v>1379</v>
      </c>
      <c r="F338" s="21" t="s">
        <v>1369</v>
      </c>
      <c r="G338" s="21" t="s">
        <v>1305</v>
      </c>
      <c r="H338" s="21" t="s">
        <v>1316</v>
      </c>
      <c r="I338" s="22">
        <f>DATE(2024,5,17)</f>
        <v>45429</v>
      </c>
      <c r="J338" s="22">
        <f>DATE(2024,5,17)</f>
        <v>45429</v>
      </c>
      <c r="K338" s="22">
        <f>DATE(2029,5,17)</f>
        <v>47255</v>
      </c>
      <c r="L338" s="21" t="s">
        <v>1307</v>
      </c>
      <c r="M338" s="21" t="s">
        <v>1302</v>
      </c>
    </row>
    <row r="339" spans="1:13" x14ac:dyDescent="0.25">
      <c r="A339" s="21" t="s">
        <v>1996</v>
      </c>
      <c r="B339" s="21" t="s">
        <v>1997</v>
      </c>
      <c r="C339" s="21" t="s">
        <v>1296</v>
      </c>
      <c r="D339" s="21" t="s">
        <v>1297</v>
      </c>
      <c r="E339" s="21" t="s">
        <v>1379</v>
      </c>
      <c r="F339" s="21" t="s">
        <v>1369</v>
      </c>
      <c r="G339" s="21" t="s">
        <v>1299</v>
      </c>
      <c r="H339" s="21" t="s">
        <v>1386</v>
      </c>
      <c r="I339" s="22">
        <f>DATE(2020,7,24)</f>
        <v>44036</v>
      </c>
      <c r="J339" s="22">
        <f>DATE(2020,7,24)</f>
        <v>44036</v>
      </c>
      <c r="K339" s="22">
        <f>DATE(2025,7,24)</f>
        <v>45862</v>
      </c>
      <c r="L339" s="21" t="s">
        <v>1301</v>
      </c>
      <c r="M339" s="21" t="s">
        <v>1302</v>
      </c>
    </row>
    <row r="340" spans="1:13" x14ac:dyDescent="0.25">
      <c r="A340" s="21" t="s">
        <v>1998</v>
      </c>
      <c r="B340" s="21" t="s">
        <v>1999</v>
      </c>
      <c r="C340" s="21" t="s">
        <v>1296</v>
      </c>
      <c r="D340" s="21" t="s">
        <v>1297</v>
      </c>
      <c r="E340" s="21" t="s">
        <v>1379</v>
      </c>
      <c r="F340" s="21" t="s">
        <v>1369</v>
      </c>
      <c r="G340" s="21" t="s">
        <v>1305</v>
      </c>
      <c r="H340" s="21" t="s">
        <v>1316</v>
      </c>
      <c r="I340" s="22">
        <f>DATE(2020,6,23)</f>
        <v>44005</v>
      </c>
      <c r="J340" s="22">
        <f>DATE(2020,6,23)</f>
        <v>44005</v>
      </c>
      <c r="K340" s="22">
        <f>DATE(2025,6,23)</f>
        <v>45831</v>
      </c>
      <c r="L340" s="21" t="s">
        <v>1301</v>
      </c>
      <c r="M340" s="21" t="s">
        <v>1302</v>
      </c>
    </row>
    <row r="341" spans="1:13" x14ac:dyDescent="0.25">
      <c r="A341" s="21" t="s">
        <v>2000</v>
      </c>
      <c r="B341" s="21" t="s">
        <v>2001</v>
      </c>
      <c r="C341" s="21" t="s">
        <v>1296</v>
      </c>
      <c r="D341" s="21" t="s">
        <v>1297</v>
      </c>
      <c r="E341" s="21" t="s">
        <v>1379</v>
      </c>
      <c r="F341" s="21" t="s">
        <v>1369</v>
      </c>
      <c r="G341" s="21" t="s">
        <v>1305</v>
      </c>
      <c r="H341" s="21" t="s">
        <v>1386</v>
      </c>
      <c r="I341" s="22">
        <f>DATE(2023,10,26)</f>
        <v>45225</v>
      </c>
      <c r="J341" s="22">
        <f>DATE(2023,10,26)</f>
        <v>45225</v>
      </c>
      <c r="K341" s="22">
        <f>DATE(2028,10,26)</f>
        <v>47052</v>
      </c>
      <c r="L341" s="21" t="s">
        <v>1307</v>
      </c>
      <c r="M341" s="21" t="s">
        <v>1302</v>
      </c>
    </row>
    <row r="342" spans="1:13" x14ac:dyDescent="0.25">
      <c r="A342" s="21" t="s">
        <v>2002</v>
      </c>
      <c r="B342" s="21" t="s">
        <v>2003</v>
      </c>
      <c r="C342" s="21" t="s">
        <v>1296</v>
      </c>
      <c r="D342" s="21" t="s">
        <v>1297</v>
      </c>
      <c r="E342" s="21" t="s">
        <v>1379</v>
      </c>
      <c r="F342" s="21" t="s">
        <v>1369</v>
      </c>
      <c r="G342" s="21" t="s">
        <v>1305</v>
      </c>
      <c r="H342" s="21" t="s">
        <v>1316</v>
      </c>
      <c r="I342" s="22">
        <f>DATE(2024,8,16)</f>
        <v>45520</v>
      </c>
      <c r="J342" s="22">
        <f>DATE(2024,8,16)</f>
        <v>45520</v>
      </c>
      <c r="K342" s="22">
        <f>DATE(2029,8,23)</f>
        <v>47353</v>
      </c>
      <c r="L342" s="21" t="s">
        <v>1307</v>
      </c>
      <c r="M342" s="21" t="s">
        <v>1302</v>
      </c>
    </row>
    <row r="343" spans="1:13" x14ac:dyDescent="0.25">
      <c r="A343" s="21" t="s">
        <v>2004</v>
      </c>
      <c r="B343" s="21" t="s">
        <v>2005</v>
      </c>
      <c r="C343" s="21" t="s">
        <v>1296</v>
      </c>
      <c r="D343" s="21" t="s">
        <v>1297</v>
      </c>
      <c r="E343" s="21" t="s">
        <v>1379</v>
      </c>
      <c r="F343" s="21" t="s">
        <v>1369</v>
      </c>
      <c r="G343" s="21" t="s">
        <v>1299</v>
      </c>
      <c r="H343" s="21" t="s">
        <v>1300</v>
      </c>
      <c r="I343" s="22">
        <f>DATE(2020,7,30)</f>
        <v>44042</v>
      </c>
      <c r="J343" s="22">
        <f>DATE(2020,7,30)</f>
        <v>44042</v>
      </c>
      <c r="K343" s="22">
        <f>DATE(2025,7,30)</f>
        <v>45868</v>
      </c>
      <c r="L343" s="21" t="s">
        <v>1301</v>
      </c>
      <c r="M343" s="21" t="s">
        <v>1302</v>
      </c>
    </row>
    <row r="344" spans="1:13" x14ac:dyDescent="0.25">
      <c r="A344" s="21" t="s">
        <v>2006</v>
      </c>
      <c r="B344" s="21" t="s">
        <v>2007</v>
      </c>
      <c r="C344" s="21" t="s">
        <v>1296</v>
      </c>
      <c r="D344" s="21" t="s">
        <v>1297</v>
      </c>
      <c r="E344" s="21" t="s">
        <v>1379</v>
      </c>
      <c r="F344" s="21" t="s">
        <v>1369</v>
      </c>
      <c r="G344" s="21" t="s">
        <v>1299</v>
      </c>
      <c r="H344" s="21" t="s">
        <v>1300</v>
      </c>
      <c r="I344" s="22">
        <f>DATE(2023,10,31)</f>
        <v>45230</v>
      </c>
      <c r="J344" s="22">
        <f>DATE(2023,10,31)</f>
        <v>45230</v>
      </c>
      <c r="K344" s="22">
        <f>DATE(2028,10,31)</f>
        <v>47057</v>
      </c>
      <c r="L344" s="21" t="s">
        <v>1307</v>
      </c>
      <c r="M344" s="21" t="s">
        <v>1302</v>
      </c>
    </row>
    <row r="345" spans="1:13" x14ac:dyDescent="0.25">
      <c r="A345" s="21" t="s">
        <v>2008</v>
      </c>
      <c r="B345" s="21" t="s">
        <v>2009</v>
      </c>
      <c r="C345" s="21" t="s">
        <v>1296</v>
      </c>
      <c r="D345" s="21" t="s">
        <v>1297</v>
      </c>
      <c r="E345" s="21" t="s">
        <v>1379</v>
      </c>
      <c r="F345" s="21" t="s">
        <v>1369</v>
      </c>
      <c r="G345" s="21" t="s">
        <v>1305</v>
      </c>
      <c r="H345" s="21" t="s">
        <v>1300</v>
      </c>
      <c r="I345" s="22">
        <f>DATE(2024,10,24)</f>
        <v>45589</v>
      </c>
      <c r="J345" s="22">
        <f>DATE(2024,10,24)</f>
        <v>45589</v>
      </c>
      <c r="K345" s="22">
        <f>DATE(2029,10,24)</f>
        <v>47415</v>
      </c>
      <c r="L345" s="21" t="s">
        <v>1307</v>
      </c>
      <c r="M345" s="21" t="s">
        <v>1302</v>
      </c>
    </row>
    <row r="346" spans="1:13" x14ac:dyDescent="0.25">
      <c r="A346" s="21" t="s">
        <v>2010</v>
      </c>
      <c r="B346" s="21" t="s">
        <v>2011</v>
      </c>
      <c r="C346" s="21" t="s">
        <v>1296</v>
      </c>
      <c r="D346" s="21" t="s">
        <v>1297</v>
      </c>
      <c r="E346" s="21" t="s">
        <v>1379</v>
      </c>
      <c r="F346" s="21" t="s">
        <v>1369</v>
      </c>
      <c r="G346" s="21" t="s">
        <v>1299</v>
      </c>
      <c r="H346" s="21" t="s">
        <v>1386</v>
      </c>
      <c r="I346" s="22">
        <f>DATE(2024,10,18)</f>
        <v>45583</v>
      </c>
      <c r="J346" s="22">
        <f>DATE(2024,10,18)</f>
        <v>45583</v>
      </c>
      <c r="K346" s="22">
        <f>DATE(2029,10,18)</f>
        <v>47409</v>
      </c>
      <c r="L346" s="21" t="s">
        <v>1307</v>
      </c>
      <c r="M346" s="21" t="s">
        <v>1302</v>
      </c>
    </row>
    <row r="347" spans="1:13" x14ac:dyDescent="0.25">
      <c r="A347" s="21" t="s">
        <v>2012</v>
      </c>
      <c r="B347" s="21" t="s">
        <v>2013</v>
      </c>
      <c r="C347" s="21" t="s">
        <v>1296</v>
      </c>
      <c r="D347" s="21" t="s">
        <v>1297</v>
      </c>
      <c r="E347" s="21" t="s">
        <v>1379</v>
      </c>
      <c r="F347" s="21" t="s">
        <v>1369</v>
      </c>
      <c r="G347" s="21" t="s">
        <v>1299</v>
      </c>
      <c r="H347" s="21" t="s">
        <v>1300</v>
      </c>
      <c r="I347" s="22">
        <f>DATE(2022,2,28)</f>
        <v>44620</v>
      </c>
      <c r="J347" s="22">
        <f>DATE(2022,2,28)</f>
        <v>44620</v>
      </c>
      <c r="K347" s="22">
        <f>DATE(2027,2,28)</f>
        <v>46446</v>
      </c>
      <c r="L347" s="21" t="s">
        <v>1301</v>
      </c>
      <c r="M347" s="21" t="s">
        <v>1302</v>
      </c>
    </row>
    <row r="348" spans="1:13" x14ac:dyDescent="0.25">
      <c r="A348" s="21" t="s">
        <v>2014</v>
      </c>
      <c r="B348" s="21" t="s">
        <v>2015</v>
      </c>
      <c r="C348" s="21" t="s">
        <v>1296</v>
      </c>
      <c r="D348" s="21" t="s">
        <v>1297</v>
      </c>
      <c r="E348" s="21" t="s">
        <v>1379</v>
      </c>
      <c r="F348" s="21" t="s">
        <v>1369</v>
      </c>
      <c r="G348" s="21" t="s">
        <v>1299</v>
      </c>
      <c r="H348" s="21" t="s">
        <v>1300</v>
      </c>
      <c r="I348" s="22">
        <f>DATE(2024,1,3)</f>
        <v>45294</v>
      </c>
      <c r="J348" s="22">
        <f>DATE(2024,1,3)</f>
        <v>45294</v>
      </c>
      <c r="K348" s="22">
        <f>DATE(2029,1,3)</f>
        <v>47121</v>
      </c>
      <c r="L348" s="21" t="s">
        <v>1307</v>
      </c>
      <c r="M348" s="21" t="s">
        <v>1302</v>
      </c>
    </row>
    <row r="349" spans="1:13" x14ac:dyDescent="0.25">
      <c r="A349" s="21" t="s">
        <v>2016</v>
      </c>
      <c r="B349" s="21" t="s">
        <v>2017</v>
      </c>
      <c r="C349" s="21" t="s">
        <v>1296</v>
      </c>
      <c r="D349" s="21" t="s">
        <v>1297</v>
      </c>
      <c r="E349" s="21" t="s">
        <v>1379</v>
      </c>
      <c r="F349" s="21" t="s">
        <v>1369</v>
      </c>
      <c r="G349" s="21" t="s">
        <v>1305</v>
      </c>
      <c r="H349" s="21" t="s">
        <v>1300</v>
      </c>
      <c r="I349" s="22">
        <f>DATE(2019,12,17)</f>
        <v>43816</v>
      </c>
      <c r="J349" s="22">
        <f>DATE(2019,12,17)</f>
        <v>43816</v>
      </c>
      <c r="K349" s="22">
        <f>DATE(2024,12,17)</f>
        <v>45643</v>
      </c>
      <c r="L349" s="21" t="s">
        <v>1301</v>
      </c>
      <c r="M349" s="21" t="s">
        <v>1302</v>
      </c>
    </row>
    <row r="350" spans="1:13" x14ac:dyDescent="0.25">
      <c r="A350" s="21" t="s">
        <v>2018</v>
      </c>
      <c r="B350" s="21" t="s">
        <v>2019</v>
      </c>
      <c r="C350" s="21" t="s">
        <v>1296</v>
      </c>
      <c r="D350" s="21" t="s">
        <v>1297</v>
      </c>
      <c r="E350" s="21" t="s">
        <v>1379</v>
      </c>
      <c r="F350" s="21" t="s">
        <v>1369</v>
      </c>
      <c r="G350" s="21" t="s">
        <v>1299</v>
      </c>
      <c r="H350" s="21" t="s">
        <v>1316</v>
      </c>
      <c r="I350" s="22">
        <f>DATE(2024,8,27)</f>
        <v>45531</v>
      </c>
      <c r="J350" s="22">
        <f>DATE(2024,8,27)</f>
        <v>45531</v>
      </c>
      <c r="K350" s="22">
        <f>DATE(2029,8,20)</f>
        <v>47350</v>
      </c>
      <c r="L350" s="21" t="s">
        <v>1307</v>
      </c>
      <c r="M350" s="21" t="s">
        <v>1302</v>
      </c>
    </row>
    <row r="351" spans="1:13" x14ac:dyDescent="0.25">
      <c r="A351" s="21" t="s">
        <v>2020</v>
      </c>
      <c r="B351" s="21" t="s">
        <v>2021</v>
      </c>
      <c r="C351" s="21" t="s">
        <v>1296</v>
      </c>
      <c r="D351" s="21" t="s">
        <v>1297</v>
      </c>
      <c r="E351" s="21" t="s">
        <v>1379</v>
      </c>
      <c r="F351" s="21" t="s">
        <v>1369</v>
      </c>
      <c r="G351" s="21" t="s">
        <v>1305</v>
      </c>
      <c r="H351" s="21" t="s">
        <v>1386</v>
      </c>
      <c r="I351" s="22">
        <f>DATE(2020,6,10)</f>
        <v>43992</v>
      </c>
      <c r="J351" s="22">
        <f>DATE(2020,6,10)</f>
        <v>43992</v>
      </c>
      <c r="K351" s="22">
        <f>DATE(2025,6,10)</f>
        <v>45818</v>
      </c>
      <c r="L351" s="21" t="s">
        <v>1301</v>
      </c>
      <c r="M351" s="21" t="s">
        <v>1302</v>
      </c>
    </row>
    <row r="352" spans="1:13" x14ac:dyDescent="0.25">
      <c r="A352" s="21" t="s">
        <v>2022</v>
      </c>
      <c r="B352" s="21" t="s">
        <v>2023</v>
      </c>
      <c r="C352" s="21" t="s">
        <v>1296</v>
      </c>
      <c r="D352" s="21" t="s">
        <v>1297</v>
      </c>
      <c r="E352" s="21" t="s">
        <v>1379</v>
      </c>
      <c r="F352" s="21" t="s">
        <v>1369</v>
      </c>
      <c r="G352" s="21" t="s">
        <v>1299</v>
      </c>
      <c r="H352" s="21" t="s">
        <v>1300</v>
      </c>
      <c r="I352" s="22">
        <f>DATE(2020,8,12)</f>
        <v>44055</v>
      </c>
      <c r="J352" s="22">
        <f>DATE(2020,8,12)</f>
        <v>44055</v>
      </c>
      <c r="K352" s="22">
        <f>DATE(2025,8,12)</f>
        <v>45881</v>
      </c>
      <c r="L352" s="21" t="s">
        <v>1301</v>
      </c>
      <c r="M352" s="21" t="s">
        <v>1302</v>
      </c>
    </row>
    <row r="353" spans="1:13" x14ac:dyDescent="0.25">
      <c r="A353" s="21" t="s">
        <v>2024</v>
      </c>
      <c r="B353" s="21" t="s">
        <v>2025</v>
      </c>
      <c r="C353" s="21" t="s">
        <v>1296</v>
      </c>
      <c r="D353" s="21" t="s">
        <v>1297</v>
      </c>
      <c r="E353" s="21" t="s">
        <v>1379</v>
      </c>
      <c r="F353" s="21" t="s">
        <v>1369</v>
      </c>
      <c r="G353" s="21" t="s">
        <v>1299</v>
      </c>
      <c r="H353" s="21" t="s">
        <v>1316</v>
      </c>
      <c r="I353" s="22">
        <f>DATE(2019,12,9)</f>
        <v>43808</v>
      </c>
      <c r="J353" s="22">
        <f>DATE(2019,12,9)</f>
        <v>43808</v>
      </c>
      <c r="K353" s="22">
        <f>DATE(2024,12,9)</f>
        <v>45635</v>
      </c>
      <c r="L353" s="21" t="s">
        <v>1301</v>
      </c>
      <c r="M353" s="21" t="s">
        <v>1302</v>
      </c>
    </row>
    <row r="354" spans="1:13" x14ac:dyDescent="0.25">
      <c r="A354" s="21" t="s">
        <v>2026</v>
      </c>
      <c r="B354" s="21" t="s">
        <v>2027</v>
      </c>
      <c r="C354" s="21" t="s">
        <v>1296</v>
      </c>
      <c r="D354" s="21" t="s">
        <v>1297</v>
      </c>
      <c r="E354" s="21" t="s">
        <v>1379</v>
      </c>
      <c r="F354" s="21" t="s">
        <v>1369</v>
      </c>
      <c r="G354" s="21" t="s">
        <v>1299</v>
      </c>
      <c r="H354" s="21" t="s">
        <v>1306</v>
      </c>
      <c r="I354" s="22">
        <f>DATE(2024,8,30)</f>
        <v>45534</v>
      </c>
      <c r="J354" s="22">
        <f>DATE(2024,8,30)</f>
        <v>45534</v>
      </c>
      <c r="K354" s="22">
        <f>DATE(2025,8,1)</f>
        <v>45870</v>
      </c>
      <c r="L354" s="21" t="s">
        <v>1307</v>
      </c>
      <c r="M354" s="21" t="s">
        <v>1302</v>
      </c>
    </row>
    <row r="355" spans="1:13" x14ac:dyDescent="0.25">
      <c r="A355" s="21" t="s">
        <v>2028</v>
      </c>
      <c r="B355" s="21" t="s">
        <v>2029</v>
      </c>
      <c r="C355" s="21" t="s">
        <v>1296</v>
      </c>
      <c r="D355" s="21" t="s">
        <v>1297</v>
      </c>
      <c r="E355" s="21" t="s">
        <v>1379</v>
      </c>
      <c r="F355" s="21" t="s">
        <v>1369</v>
      </c>
      <c r="G355" s="21" t="s">
        <v>1305</v>
      </c>
      <c r="H355" s="21" t="s">
        <v>1386</v>
      </c>
      <c r="I355" s="22">
        <f>DATE(2020,2,17)</f>
        <v>43878</v>
      </c>
      <c r="J355" s="22">
        <f>DATE(2020,2,17)</f>
        <v>43878</v>
      </c>
      <c r="K355" s="22">
        <f>DATE(2025,2,17)</f>
        <v>45705</v>
      </c>
      <c r="L355" s="21" t="s">
        <v>1301</v>
      </c>
      <c r="M355" s="21" t="s">
        <v>1302</v>
      </c>
    </row>
    <row r="356" spans="1:13" x14ac:dyDescent="0.25">
      <c r="A356" s="21" t="s">
        <v>2030</v>
      </c>
      <c r="B356" s="21" t="s">
        <v>2031</v>
      </c>
      <c r="C356" s="21" t="s">
        <v>1296</v>
      </c>
      <c r="D356" s="21" t="s">
        <v>1297</v>
      </c>
      <c r="E356" s="21" t="s">
        <v>1379</v>
      </c>
      <c r="F356" s="21" t="s">
        <v>1369</v>
      </c>
      <c r="G356" s="21" t="s">
        <v>1299</v>
      </c>
      <c r="H356" s="21" t="s">
        <v>1386</v>
      </c>
      <c r="I356" s="22">
        <f>DATE(2020,8,18)</f>
        <v>44061</v>
      </c>
      <c r="J356" s="22">
        <f>DATE(2020,8,18)</f>
        <v>44061</v>
      </c>
      <c r="K356" s="22">
        <f>DATE(2025,6,18)</f>
        <v>45826</v>
      </c>
      <c r="L356" s="21" t="s">
        <v>1301</v>
      </c>
      <c r="M356" s="21" t="s">
        <v>1302</v>
      </c>
    </row>
    <row r="357" spans="1:13" x14ac:dyDescent="0.25">
      <c r="A357" s="21" t="s">
        <v>2032</v>
      </c>
      <c r="B357" s="21" t="s">
        <v>2033</v>
      </c>
      <c r="C357" s="21" t="s">
        <v>1296</v>
      </c>
      <c r="D357" s="21" t="s">
        <v>1297</v>
      </c>
      <c r="E357" s="21" t="s">
        <v>1379</v>
      </c>
      <c r="F357" s="21" t="s">
        <v>1369</v>
      </c>
      <c r="G357" s="21" t="s">
        <v>1299</v>
      </c>
      <c r="H357" s="21" t="s">
        <v>1300</v>
      </c>
      <c r="I357" s="22">
        <f>DATE(2023,9,13)</f>
        <v>45182</v>
      </c>
      <c r="J357" s="22">
        <f>DATE(2023,9,13)</f>
        <v>45182</v>
      </c>
      <c r="K357" s="22">
        <f>DATE(2028,7,25)</f>
        <v>46959</v>
      </c>
      <c r="L357" s="21" t="s">
        <v>1307</v>
      </c>
      <c r="M357" s="21" t="s">
        <v>1302</v>
      </c>
    </row>
    <row r="358" spans="1:13" x14ac:dyDescent="0.25">
      <c r="A358" s="21" t="s">
        <v>2034</v>
      </c>
      <c r="B358" s="21" t="s">
        <v>2035</v>
      </c>
      <c r="C358" s="21" t="s">
        <v>1296</v>
      </c>
      <c r="D358" s="21" t="s">
        <v>1297</v>
      </c>
      <c r="E358" s="21" t="s">
        <v>1379</v>
      </c>
      <c r="F358" s="21" t="s">
        <v>1369</v>
      </c>
      <c r="G358" s="21" t="s">
        <v>1305</v>
      </c>
      <c r="H358" s="21" t="s">
        <v>1300</v>
      </c>
      <c r="I358" s="22">
        <f>DATE(2020,4,1)</f>
        <v>43922</v>
      </c>
      <c r="J358" s="22">
        <f>DATE(2020,4,1)</f>
        <v>43922</v>
      </c>
      <c r="K358" s="22">
        <f>DATE(2025,4,1)</f>
        <v>45748</v>
      </c>
      <c r="L358" s="21" t="s">
        <v>1301</v>
      </c>
      <c r="M358" s="21" t="s">
        <v>1302</v>
      </c>
    </row>
    <row r="359" spans="1:13" x14ac:dyDescent="0.25">
      <c r="A359" s="21" t="s">
        <v>2036</v>
      </c>
      <c r="B359" s="21" t="s">
        <v>2037</v>
      </c>
      <c r="C359" s="21" t="s">
        <v>1296</v>
      </c>
      <c r="D359" s="21" t="s">
        <v>1297</v>
      </c>
      <c r="E359" s="21" t="s">
        <v>1379</v>
      </c>
      <c r="F359" s="21" t="s">
        <v>1369</v>
      </c>
      <c r="G359" s="21" t="s">
        <v>1299</v>
      </c>
      <c r="H359" s="21" t="s">
        <v>1300</v>
      </c>
      <c r="I359" s="22">
        <f>DATE(2023,9,13)</f>
        <v>45182</v>
      </c>
      <c r="J359" s="22">
        <f>DATE(2023,9,13)</f>
        <v>45182</v>
      </c>
      <c r="K359" s="22">
        <f>DATE(2028,9,13)</f>
        <v>47009</v>
      </c>
      <c r="L359" s="21" t="s">
        <v>1307</v>
      </c>
      <c r="M359" s="21" t="s">
        <v>1302</v>
      </c>
    </row>
    <row r="360" spans="1:13" x14ac:dyDescent="0.25">
      <c r="A360" s="21" t="s">
        <v>2038</v>
      </c>
      <c r="B360" s="21" t="s">
        <v>2039</v>
      </c>
      <c r="C360" s="21" t="s">
        <v>1296</v>
      </c>
      <c r="D360" s="21" t="s">
        <v>1297</v>
      </c>
      <c r="E360" s="21" t="s">
        <v>1379</v>
      </c>
      <c r="F360" s="21" t="s">
        <v>1369</v>
      </c>
      <c r="G360" s="21" t="s">
        <v>1305</v>
      </c>
      <c r="H360" s="21" t="s">
        <v>1386</v>
      </c>
      <c r="I360" s="22">
        <f>DATE(2020,9,17)</f>
        <v>44091</v>
      </c>
      <c r="J360" s="22">
        <f>DATE(2020,9,17)</f>
        <v>44091</v>
      </c>
      <c r="K360" s="22">
        <f>DATE(2025,9,17)</f>
        <v>45917</v>
      </c>
      <c r="L360" s="21" t="s">
        <v>1301</v>
      </c>
      <c r="M360" s="21" t="s">
        <v>1302</v>
      </c>
    </row>
    <row r="361" spans="1:13" x14ac:dyDescent="0.25">
      <c r="A361" s="21" t="s">
        <v>2040</v>
      </c>
      <c r="B361" s="21" t="s">
        <v>2041</v>
      </c>
      <c r="C361" s="21" t="s">
        <v>1296</v>
      </c>
      <c r="D361" s="21" t="s">
        <v>1297</v>
      </c>
      <c r="E361" s="21" t="s">
        <v>1379</v>
      </c>
      <c r="F361" s="21" t="s">
        <v>1369</v>
      </c>
      <c r="G361" s="21" t="s">
        <v>1299</v>
      </c>
      <c r="H361" s="21" t="s">
        <v>1306</v>
      </c>
      <c r="I361" s="22">
        <f>DATE(2023,12,5)</f>
        <v>45265</v>
      </c>
      <c r="J361" s="22">
        <f>DATE(2023,12,5)</f>
        <v>45265</v>
      </c>
      <c r="K361" s="22">
        <f>DATE(2024,11,15)</f>
        <v>45611</v>
      </c>
      <c r="L361" s="21" t="s">
        <v>1307</v>
      </c>
      <c r="M361" s="21" t="s">
        <v>1302</v>
      </c>
    </row>
    <row r="362" spans="1:13" x14ac:dyDescent="0.25">
      <c r="A362" s="21" t="s">
        <v>2042</v>
      </c>
      <c r="B362" s="21" t="s">
        <v>2043</v>
      </c>
      <c r="C362" s="21" t="s">
        <v>1296</v>
      </c>
      <c r="D362" s="21" t="s">
        <v>1297</v>
      </c>
      <c r="E362" s="21" t="s">
        <v>1379</v>
      </c>
      <c r="F362" s="21" t="s">
        <v>1369</v>
      </c>
      <c r="G362" s="21" t="s">
        <v>1299</v>
      </c>
      <c r="H362" s="21" t="s">
        <v>1386</v>
      </c>
      <c r="I362" s="22">
        <f>DATE(2022,5,26)</f>
        <v>44707</v>
      </c>
      <c r="J362" s="22">
        <f>DATE(2022,5,26)</f>
        <v>44707</v>
      </c>
      <c r="K362" s="22">
        <f>DATE(2027,5,26)</f>
        <v>46533</v>
      </c>
      <c r="L362" s="21" t="s">
        <v>1301</v>
      </c>
      <c r="M362" s="21" t="s">
        <v>1302</v>
      </c>
    </row>
    <row r="363" spans="1:13" x14ac:dyDescent="0.25">
      <c r="A363" s="21" t="s">
        <v>2044</v>
      </c>
      <c r="B363" s="21" t="s">
        <v>2045</v>
      </c>
      <c r="C363" s="21" t="s">
        <v>1296</v>
      </c>
      <c r="D363" s="21" t="s">
        <v>1297</v>
      </c>
      <c r="E363" s="21" t="s">
        <v>1379</v>
      </c>
      <c r="F363" s="21" t="s">
        <v>1369</v>
      </c>
      <c r="G363" s="21" t="s">
        <v>1305</v>
      </c>
      <c r="H363" s="21" t="s">
        <v>1316</v>
      </c>
      <c r="I363" s="22">
        <f>DATE(2021,3,19)</f>
        <v>44274</v>
      </c>
      <c r="J363" s="22">
        <f>DATE(2021,3,19)</f>
        <v>44274</v>
      </c>
      <c r="K363" s="22">
        <f>DATE(2026,3,19)</f>
        <v>46100</v>
      </c>
      <c r="L363" s="21" t="s">
        <v>1301</v>
      </c>
      <c r="M363" s="21" t="s">
        <v>1302</v>
      </c>
    </row>
    <row r="364" spans="1:13" x14ac:dyDescent="0.25">
      <c r="A364" s="21" t="s">
        <v>2046</v>
      </c>
      <c r="B364" s="21" t="s">
        <v>2047</v>
      </c>
      <c r="C364" s="21" t="s">
        <v>1296</v>
      </c>
      <c r="D364" s="21" t="s">
        <v>1297</v>
      </c>
      <c r="E364" s="21" t="s">
        <v>1379</v>
      </c>
      <c r="F364" s="21" t="s">
        <v>1369</v>
      </c>
      <c r="G364" s="21" t="s">
        <v>1299</v>
      </c>
      <c r="H364" s="21" t="s">
        <v>1300</v>
      </c>
      <c r="I364" s="22">
        <f>DATE(2024,12,3)</f>
        <v>45629</v>
      </c>
      <c r="J364" s="22">
        <f>DATE(2024,12,3)</f>
        <v>45629</v>
      </c>
      <c r="K364" s="22">
        <f>DATE(2029,12,3)</f>
        <v>47455</v>
      </c>
      <c r="L364" s="21" t="s">
        <v>1307</v>
      </c>
      <c r="M364" s="21" t="s">
        <v>1302</v>
      </c>
    </row>
    <row r="365" spans="1:13" x14ac:dyDescent="0.25">
      <c r="A365" s="21" t="s">
        <v>2048</v>
      </c>
      <c r="B365" s="21" t="s">
        <v>2049</v>
      </c>
      <c r="C365" s="21" t="s">
        <v>1296</v>
      </c>
      <c r="D365" s="21" t="s">
        <v>1297</v>
      </c>
      <c r="E365" s="21" t="s">
        <v>1379</v>
      </c>
      <c r="F365" s="21" t="s">
        <v>1369</v>
      </c>
      <c r="G365" s="21" t="s">
        <v>1305</v>
      </c>
      <c r="H365" s="21" t="s">
        <v>1300</v>
      </c>
      <c r="I365" s="22">
        <f>DATE(2023,11,14)</f>
        <v>45244</v>
      </c>
      <c r="J365" s="22">
        <f>DATE(2023,11,14)</f>
        <v>45244</v>
      </c>
      <c r="K365" s="22">
        <f>DATE(2028,11,14)</f>
        <v>47071</v>
      </c>
      <c r="L365" s="21" t="s">
        <v>1307</v>
      </c>
      <c r="M365" s="21" t="s">
        <v>1302</v>
      </c>
    </row>
    <row r="366" spans="1:13" x14ac:dyDescent="0.25">
      <c r="A366" s="21" t="s">
        <v>2050</v>
      </c>
      <c r="B366" s="21" t="s">
        <v>2051</v>
      </c>
      <c r="C366" s="21" t="s">
        <v>1296</v>
      </c>
      <c r="D366" s="21" t="s">
        <v>1297</v>
      </c>
      <c r="E366" s="21" t="s">
        <v>1379</v>
      </c>
      <c r="F366" s="21" t="s">
        <v>1369</v>
      </c>
      <c r="G366" s="21" t="s">
        <v>1299</v>
      </c>
      <c r="H366" s="21" t="s">
        <v>1386</v>
      </c>
      <c r="I366" s="22">
        <f>DATE(2020,12,14)</f>
        <v>44179</v>
      </c>
      <c r="J366" s="22">
        <f>DATE(2020,12,14)</f>
        <v>44179</v>
      </c>
      <c r="K366" s="22">
        <f>DATE(2025,12,14)</f>
        <v>46005</v>
      </c>
      <c r="L366" s="21" t="s">
        <v>1301</v>
      </c>
      <c r="M366" s="21" t="s">
        <v>1302</v>
      </c>
    </row>
    <row r="367" spans="1:13" x14ac:dyDescent="0.25">
      <c r="A367" s="21" t="s">
        <v>2052</v>
      </c>
      <c r="B367" s="21" t="s">
        <v>2053</v>
      </c>
      <c r="C367" s="21" t="s">
        <v>1296</v>
      </c>
      <c r="D367" s="21" t="s">
        <v>1297</v>
      </c>
      <c r="E367" s="21" t="s">
        <v>1379</v>
      </c>
      <c r="F367" s="21" t="s">
        <v>1369</v>
      </c>
      <c r="G367" s="21" t="s">
        <v>1299</v>
      </c>
      <c r="H367" s="21" t="s">
        <v>1300</v>
      </c>
      <c r="I367" s="22">
        <f>DATE(2024,1,11)</f>
        <v>45302</v>
      </c>
      <c r="J367" s="22">
        <f>DATE(2024,1,11)</f>
        <v>45302</v>
      </c>
      <c r="K367" s="22">
        <f>DATE(2029,2,14)</f>
        <v>47163</v>
      </c>
      <c r="L367" s="21" t="s">
        <v>1307</v>
      </c>
      <c r="M367" s="21" t="s">
        <v>1302</v>
      </c>
    </row>
    <row r="368" spans="1:13" x14ac:dyDescent="0.25">
      <c r="A368" s="21" t="s">
        <v>2054</v>
      </c>
      <c r="B368" s="21" t="s">
        <v>2055</v>
      </c>
      <c r="C368" s="21" t="s">
        <v>1296</v>
      </c>
      <c r="D368" s="21" t="s">
        <v>1297</v>
      </c>
      <c r="E368" s="21" t="s">
        <v>1379</v>
      </c>
      <c r="F368" s="21" t="s">
        <v>1369</v>
      </c>
      <c r="G368" s="21" t="s">
        <v>1305</v>
      </c>
      <c r="H368" s="21" t="s">
        <v>1300</v>
      </c>
      <c r="I368" s="22">
        <f>DATE(2020,4,1)</f>
        <v>43922</v>
      </c>
      <c r="J368" s="22">
        <f>DATE(2020,4,1)</f>
        <v>43922</v>
      </c>
      <c r="K368" s="22">
        <f>DATE(2025,4,1)</f>
        <v>45748</v>
      </c>
      <c r="L368" s="21" t="s">
        <v>1301</v>
      </c>
      <c r="M368" s="21" t="s">
        <v>1302</v>
      </c>
    </row>
    <row r="369" spans="1:13" x14ac:dyDescent="0.25">
      <c r="A369" s="21" t="s">
        <v>2056</v>
      </c>
      <c r="B369" s="21" t="s">
        <v>2057</v>
      </c>
      <c r="C369" s="21" t="s">
        <v>1296</v>
      </c>
      <c r="D369" s="21" t="s">
        <v>1297</v>
      </c>
      <c r="E369" s="21" t="s">
        <v>1379</v>
      </c>
      <c r="F369" s="21" t="s">
        <v>1369</v>
      </c>
      <c r="G369" s="21" t="s">
        <v>1305</v>
      </c>
      <c r="H369" s="21" t="s">
        <v>1306</v>
      </c>
      <c r="I369" s="22">
        <f>DATE(2023,10,25)</f>
        <v>45224</v>
      </c>
      <c r="J369" s="22">
        <f>DATE(2023,10,25)</f>
        <v>45224</v>
      </c>
      <c r="K369" s="22">
        <f>DATE(2024,10,1)</f>
        <v>45566</v>
      </c>
      <c r="L369" s="21" t="s">
        <v>1307</v>
      </c>
      <c r="M369" s="21" t="s">
        <v>1302</v>
      </c>
    </row>
    <row r="370" spans="1:13" x14ac:dyDescent="0.25">
      <c r="A370" s="21" t="s">
        <v>2058</v>
      </c>
      <c r="B370" s="21" t="s">
        <v>2059</v>
      </c>
      <c r="C370" s="21" t="s">
        <v>1296</v>
      </c>
      <c r="D370" s="21" t="s">
        <v>1297</v>
      </c>
      <c r="E370" s="21" t="s">
        <v>1379</v>
      </c>
      <c r="F370" s="21" t="s">
        <v>1369</v>
      </c>
      <c r="G370" s="21" t="s">
        <v>1305</v>
      </c>
      <c r="H370" s="21" t="s">
        <v>1300</v>
      </c>
      <c r="I370" s="22">
        <f>DATE(2020,3,11)</f>
        <v>43901</v>
      </c>
      <c r="J370" s="22">
        <f>DATE(2020,3,11)</f>
        <v>43901</v>
      </c>
      <c r="K370" s="22">
        <f>DATE(2025,3,11)</f>
        <v>45727</v>
      </c>
      <c r="L370" s="21" t="s">
        <v>1301</v>
      </c>
      <c r="M370" s="21" t="s">
        <v>1302</v>
      </c>
    </row>
    <row r="371" spans="1:13" x14ac:dyDescent="0.25">
      <c r="A371" s="21" t="s">
        <v>2060</v>
      </c>
      <c r="B371" s="21" t="s">
        <v>2061</v>
      </c>
      <c r="C371" s="21" t="s">
        <v>1296</v>
      </c>
      <c r="D371" s="21" t="s">
        <v>1297</v>
      </c>
      <c r="E371" s="21" t="s">
        <v>1379</v>
      </c>
      <c r="F371" s="21" t="s">
        <v>1369</v>
      </c>
      <c r="G371" s="21" t="s">
        <v>1305</v>
      </c>
      <c r="H371" s="21" t="s">
        <v>1300</v>
      </c>
      <c r="I371" s="22">
        <f>DATE(2021,4,21)</f>
        <v>44307</v>
      </c>
      <c r="J371" s="22">
        <f>DATE(2021,4,21)</f>
        <v>44307</v>
      </c>
      <c r="K371" s="22">
        <f>DATE(2026,4,21)</f>
        <v>46133</v>
      </c>
      <c r="L371" s="21" t="s">
        <v>1301</v>
      </c>
      <c r="M371" s="21" t="s">
        <v>1302</v>
      </c>
    </row>
    <row r="372" spans="1:13" x14ac:dyDescent="0.25">
      <c r="A372" s="21" t="s">
        <v>2062</v>
      </c>
      <c r="B372" s="21" t="s">
        <v>2063</v>
      </c>
      <c r="C372" s="21" t="s">
        <v>1296</v>
      </c>
      <c r="D372" s="21" t="s">
        <v>1297</v>
      </c>
      <c r="E372" s="21" t="s">
        <v>1379</v>
      </c>
      <c r="F372" s="21" t="s">
        <v>1369</v>
      </c>
      <c r="G372" s="21" t="s">
        <v>1299</v>
      </c>
      <c r="H372" s="21" t="s">
        <v>1316</v>
      </c>
      <c r="I372" s="22">
        <f>DATE(2023,9,25)</f>
        <v>45194</v>
      </c>
      <c r="J372" s="22">
        <f>DATE(2023,9,25)</f>
        <v>45194</v>
      </c>
      <c r="K372" s="22">
        <f>DATE(2028,2,23)</f>
        <v>46806</v>
      </c>
      <c r="L372" s="21" t="s">
        <v>1307</v>
      </c>
      <c r="M372" s="21" t="s">
        <v>1302</v>
      </c>
    </row>
    <row r="373" spans="1:13" x14ac:dyDescent="0.25">
      <c r="A373" s="21" t="s">
        <v>2064</v>
      </c>
      <c r="B373" s="21" t="s">
        <v>2065</v>
      </c>
      <c r="C373" s="21" t="s">
        <v>1296</v>
      </c>
      <c r="D373" s="21" t="s">
        <v>1297</v>
      </c>
      <c r="E373" s="21" t="s">
        <v>1379</v>
      </c>
      <c r="F373" s="21" t="s">
        <v>1369</v>
      </c>
      <c r="G373" s="21" t="s">
        <v>1305</v>
      </c>
      <c r="H373" s="21" t="s">
        <v>1316</v>
      </c>
      <c r="I373" s="22">
        <f>DATE(2020,4,29)</f>
        <v>43950</v>
      </c>
      <c r="J373" s="22">
        <f>DATE(2020,4,29)</f>
        <v>43950</v>
      </c>
      <c r="K373" s="22">
        <f>DATE(2025,4,29)</f>
        <v>45776</v>
      </c>
      <c r="L373" s="21" t="s">
        <v>1301</v>
      </c>
      <c r="M373" s="21" t="s">
        <v>1302</v>
      </c>
    </row>
    <row r="374" spans="1:13" x14ac:dyDescent="0.25">
      <c r="A374" s="21" t="s">
        <v>2066</v>
      </c>
      <c r="B374" s="21" t="s">
        <v>2067</v>
      </c>
      <c r="C374" s="21" t="s">
        <v>1296</v>
      </c>
      <c r="D374" s="21" t="s">
        <v>1297</v>
      </c>
      <c r="E374" s="21" t="s">
        <v>1379</v>
      </c>
      <c r="F374" s="21" t="s">
        <v>1369</v>
      </c>
      <c r="G374" s="21" t="s">
        <v>1299</v>
      </c>
      <c r="H374" s="21" t="s">
        <v>1316</v>
      </c>
      <c r="I374" s="22">
        <f>DATE(2022,10,19)</f>
        <v>44853</v>
      </c>
      <c r="J374" s="22">
        <f>DATE(2022,10,19)</f>
        <v>44853</v>
      </c>
      <c r="K374" s="22">
        <f>DATE(2027,10,19)</f>
        <v>46679</v>
      </c>
      <c r="L374" s="21" t="s">
        <v>1301</v>
      </c>
      <c r="M374" s="21" t="s">
        <v>1302</v>
      </c>
    </row>
    <row r="375" spans="1:13" x14ac:dyDescent="0.25">
      <c r="A375" s="21" t="s">
        <v>2068</v>
      </c>
      <c r="B375" s="21" t="s">
        <v>2069</v>
      </c>
      <c r="C375" s="21" t="s">
        <v>1296</v>
      </c>
      <c r="D375" s="21" t="s">
        <v>1297</v>
      </c>
      <c r="E375" s="21" t="s">
        <v>1379</v>
      </c>
      <c r="F375" s="21" t="s">
        <v>1369</v>
      </c>
      <c r="G375" s="21" t="s">
        <v>1299</v>
      </c>
      <c r="H375" s="21" t="s">
        <v>1306</v>
      </c>
      <c r="I375" s="22">
        <f>DATE(2024,2,20)</f>
        <v>45342</v>
      </c>
      <c r="J375" s="22">
        <f>DATE(2024,2,20)</f>
        <v>45342</v>
      </c>
      <c r="K375" s="22">
        <f>DATE(2025,2,1)</f>
        <v>45689</v>
      </c>
      <c r="L375" s="21" t="s">
        <v>1307</v>
      </c>
      <c r="M375" s="21" t="s">
        <v>1302</v>
      </c>
    </row>
    <row r="376" spans="1:13" x14ac:dyDescent="0.25">
      <c r="A376" s="21" t="s">
        <v>2070</v>
      </c>
      <c r="B376" s="21" t="s">
        <v>2071</v>
      </c>
      <c r="C376" s="21" t="s">
        <v>1296</v>
      </c>
      <c r="D376" s="21" t="s">
        <v>1297</v>
      </c>
      <c r="E376" s="21" t="s">
        <v>1379</v>
      </c>
      <c r="F376" s="21" t="s">
        <v>1369</v>
      </c>
      <c r="G376" s="21" t="s">
        <v>1299</v>
      </c>
      <c r="H376" s="21" t="s">
        <v>1300</v>
      </c>
      <c r="I376" s="22">
        <f>DATE(2020,8,13)</f>
        <v>44056</v>
      </c>
      <c r="J376" s="22">
        <f>DATE(2020,8,13)</f>
        <v>44056</v>
      </c>
      <c r="K376" s="22">
        <f>DATE(2025,8,13)</f>
        <v>45882</v>
      </c>
      <c r="L376" s="21" t="s">
        <v>1301</v>
      </c>
      <c r="M376" s="21" t="s">
        <v>1302</v>
      </c>
    </row>
    <row r="377" spans="1:13" x14ac:dyDescent="0.25">
      <c r="A377" s="21" t="s">
        <v>2072</v>
      </c>
      <c r="B377" s="21" t="s">
        <v>2073</v>
      </c>
      <c r="C377" s="21" t="s">
        <v>1296</v>
      </c>
      <c r="D377" s="21" t="s">
        <v>1297</v>
      </c>
      <c r="E377" s="21" t="s">
        <v>1379</v>
      </c>
      <c r="F377" s="21" t="s">
        <v>1369</v>
      </c>
      <c r="G377" s="21" t="s">
        <v>1305</v>
      </c>
      <c r="H377" s="21" t="s">
        <v>1300</v>
      </c>
      <c r="I377" s="22">
        <f>DATE(2020,7,16)</f>
        <v>44028</v>
      </c>
      <c r="J377" s="22">
        <f>DATE(2020,7,16)</f>
        <v>44028</v>
      </c>
      <c r="K377" s="22">
        <f>DATE(2025,7,16)</f>
        <v>45854</v>
      </c>
      <c r="L377" s="21" t="s">
        <v>1301</v>
      </c>
      <c r="M377" s="21" t="s">
        <v>1302</v>
      </c>
    </row>
    <row r="378" spans="1:13" x14ac:dyDescent="0.25">
      <c r="A378" s="21" t="s">
        <v>2074</v>
      </c>
      <c r="B378" s="21" t="s">
        <v>2075</v>
      </c>
      <c r="C378" s="21" t="s">
        <v>1296</v>
      </c>
      <c r="D378" s="21" t="s">
        <v>1297</v>
      </c>
      <c r="E378" s="21" t="s">
        <v>1379</v>
      </c>
      <c r="F378" s="21" t="s">
        <v>1369</v>
      </c>
      <c r="G378" s="21" t="s">
        <v>1299</v>
      </c>
      <c r="H378" s="21" t="s">
        <v>1316</v>
      </c>
      <c r="I378" s="22">
        <f>DATE(2024,1,18)</f>
        <v>45309</v>
      </c>
      <c r="J378" s="22">
        <f>DATE(2024,1,18)</f>
        <v>45309</v>
      </c>
      <c r="K378" s="22">
        <f>DATE(2029,1,18)</f>
        <v>47136</v>
      </c>
      <c r="L378" s="21" t="s">
        <v>1307</v>
      </c>
      <c r="M378" s="21" t="s">
        <v>1302</v>
      </c>
    </row>
    <row r="379" spans="1:13" x14ac:dyDescent="0.25">
      <c r="A379" s="21" t="s">
        <v>2076</v>
      </c>
      <c r="B379" s="21" t="s">
        <v>2077</v>
      </c>
      <c r="C379" s="21" t="s">
        <v>1296</v>
      </c>
      <c r="D379" s="21" t="s">
        <v>1297</v>
      </c>
      <c r="E379" s="21" t="s">
        <v>1379</v>
      </c>
      <c r="F379" s="21" t="s">
        <v>1369</v>
      </c>
      <c r="G379" s="21" t="s">
        <v>1305</v>
      </c>
      <c r="H379" s="21" t="s">
        <v>1300</v>
      </c>
      <c r="I379" s="22">
        <f>DATE(2023,10,17)</f>
        <v>45216</v>
      </c>
      <c r="J379" s="22">
        <f>DATE(2023,10,17)</f>
        <v>45216</v>
      </c>
      <c r="K379" s="22">
        <f>DATE(2028,10,17)</f>
        <v>47043</v>
      </c>
      <c r="L379" s="21" t="s">
        <v>1307</v>
      </c>
      <c r="M379" s="21" t="s">
        <v>1302</v>
      </c>
    </row>
    <row r="380" spans="1:13" x14ac:dyDescent="0.25">
      <c r="A380" s="21" t="s">
        <v>2078</v>
      </c>
      <c r="B380" s="21" t="s">
        <v>2079</v>
      </c>
      <c r="C380" s="21" t="s">
        <v>1296</v>
      </c>
      <c r="D380" s="21" t="s">
        <v>1297</v>
      </c>
      <c r="E380" s="21" t="s">
        <v>1379</v>
      </c>
      <c r="F380" s="21" t="s">
        <v>1369</v>
      </c>
      <c r="G380" s="21" t="s">
        <v>1305</v>
      </c>
      <c r="H380" s="21" t="s">
        <v>1316</v>
      </c>
      <c r="I380" s="22">
        <f>DATE(2021,2,25)</f>
        <v>44252</v>
      </c>
      <c r="J380" s="22">
        <f>DATE(2021,2,25)</f>
        <v>44252</v>
      </c>
      <c r="K380" s="22">
        <f>DATE(2026,2,25)</f>
        <v>46078</v>
      </c>
      <c r="L380" s="21" t="s">
        <v>1301</v>
      </c>
      <c r="M380" s="21" t="s">
        <v>1302</v>
      </c>
    </row>
    <row r="381" spans="1:13" x14ac:dyDescent="0.25">
      <c r="A381" s="21" t="s">
        <v>2080</v>
      </c>
      <c r="B381" s="21" t="s">
        <v>2081</v>
      </c>
      <c r="C381" s="21" t="s">
        <v>1296</v>
      </c>
      <c r="D381" s="21" t="s">
        <v>1297</v>
      </c>
      <c r="E381" s="21" t="s">
        <v>1379</v>
      </c>
      <c r="F381" s="21" t="s">
        <v>1369</v>
      </c>
      <c r="G381" s="21" t="s">
        <v>1305</v>
      </c>
      <c r="H381" s="21" t="s">
        <v>1306</v>
      </c>
      <c r="I381" s="22">
        <f>DATE(2024,6,14)</f>
        <v>45457</v>
      </c>
      <c r="J381" s="22">
        <f>DATE(2024,6,14)</f>
        <v>45457</v>
      </c>
      <c r="K381" s="22">
        <f>DATE(2025,2,15)</f>
        <v>45703</v>
      </c>
      <c r="L381" s="21" t="s">
        <v>1307</v>
      </c>
      <c r="M381" s="21" t="s">
        <v>1302</v>
      </c>
    </row>
    <row r="382" spans="1:13" x14ac:dyDescent="0.25">
      <c r="A382" s="21" t="s">
        <v>2082</v>
      </c>
      <c r="B382" s="21" t="s">
        <v>2083</v>
      </c>
      <c r="C382" s="21" t="s">
        <v>1296</v>
      </c>
      <c r="D382" s="21" t="s">
        <v>1297</v>
      </c>
      <c r="E382" s="21" t="s">
        <v>1379</v>
      </c>
      <c r="F382" s="21" t="s">
        <v>1369</v>
      </c>
      <c r="G382" s="21" t="s">
        <v>1299</v>
      </c>
      <c r="H382" s="21" t="s">
        <v>1316</v>
      </c>
      <c r="I382" s="22">
        <f>DATE(2020,8,31)</f>
        <v>44074</v>
      </c>
      <c r="J382" s="22">
        <f>DATE(2020,8,31)</f>
        <v>44074</v>
      </c>
      <c r="K382" s="22">
        <f>DATE(2025,8,31)</f>
        <v>45900</v>
      </c>
      <c r="L382" s="21" t="s">
        <v>1301</v>
      </c>
      <c r="M382" s="21" t="s">
        <v>1302</v>
      </c>
    </row>
    <row r="383" spans="1:13" x14ac:dyDescent="0.25">
      <c r="A383" s="21" t="s">
        <v>2084</v>
      </c>
      <c r="B383" s="21" t="s">
        <v>2085</v>
      </c>
      <c r="C383" s="21" t="s">
        <v>1296</v>
      </c>
      <c r="D383" s="21" t="s">
        <v>1297</v>
      </c>
      <c r="E383" s="21" t="s">
        <v>1379</v>
      </c>
      <c r="F383" s="21" t="s">
        <v>1369</v>
      </c>
      <c r="G383" s="21" t="s">
        <v>1305</v>
      </c>
      <c r="H383" s="21" t="s">
        <v>1316</v>
      </c>
      <c r="I383" s="22">
        <f>DATE(2024,8,2)</f>
        <v>45506</v>
      </c>
      <c r="J383" s="22">
        <f>DATE(2024,8,2)</f>
        <v>45506</v>
      </c>
      <c r="K383" s="22">
        <f>DATE(2029,8,2)</f>
        <v>47332</v>
      </c>
      <c r="L383" s="21" t="s">
        <v>1307</v>
      </c>
      <c r="M383" s="21" t="s">
        <v>1302</v>
      </c>
    </row>
    <row r="384" spans="1:13" x14ac:dyDescent="0.25">
      <c r="A384" s="21" t="s">
        <v>2086</v>
      </c>
      <c r="B384" s="21" t="s">
        <v>2087</v>
      </c>
      <c r="C384" s="21" t="s">
        <v>1296</v>
      </c>
      <c r="D384" s="21" t="s">
        <v>1297</v>
      </c>
      <c r="E384" s="21" t="s">
        <v>1379</v>
      </c>
      <c r="F384" s="21" t="s">
        <v>1369</v>
      </c>
      <c r="G384" s="21" t="s">
        <v>1305</v>
      </c>
      <c r="H384" s="21" t="s">
        <v>1321</v>
      </c>
      <c r="I384" s="22">
        <f>DATE(2021,1,20)</f>
        <v>44216</v>
      </c>
      <c r="J384" s="22">
        <f>DATE(2021,1,20)</f>
        <v>44216</v>
      </c>
      <c r="K384" s="22">
        <f>DATE(1900,1,1)</f>
        <v>1</v>
      </c>
      <c r="L384" s="21" t="s">
        <v>1297</v>
      </c>
      <c r="M384" s="21" t="s">
        <v>1302</v>
      </c>
    </row>
    <row r="385" spans="1:13" x14ac:dyDescent="0.25">
      <c r="A385" s="21" t="s">
        <v>2088</v>
      </c>
      <c r="B385" s="21" t="s">
        <v>2089</v>
      </c>
      <c r="C385" s="21" t="s">
        <v>1296</v>
      </c>
      <c r="D385" s="21" t="s">
        <v>1297</v>
      </c>
      <c r="E385" s="21" t="s">
        <v>1379</v>
      </c>
      <c r="F385" s="21" t="s">
        <v>1369</v>
      </c>
      <c r="G385" s="21" t="s">
        <v>1305</v>
      </c>
      <c r="H385" s="21" t="s">
        <v>1306</v>
      </c>
      <c r="I385" s="22">
        <f>DATE(2024,12,4)</f>
        <v>45630</v>
      </c>
      <c r="J385" s="22">
        <f>DATE(2024,12,4)</f>
        <v>45630</v>
      </c>
      <c r="K385" s="22">
        <f>DATE(2025,11,22)</f>
        <v>45983</v>
      </c>
      <c r="L385" s="21" t="s">
        <v>1307</v>
      </c>
      <c r="M385" s="21" t="s">
        <v>1302</v>
      </c>
    </row>
    <row r="386" spans="1:13" x14ac:dyDescent="0.25">
      <c r="A386" s="21" t="s">
        <v>2090</v>
      </c>
      <c r="B386" s="21" t="s">
        <v>2091</v>
      </c>
      <c r="C386" s="21" t="s">
        <v>1296</v>
      </c>
      <c r="D386" s="21" t="s">
        <v>1297</v>
      </c>
      <c r="E386" s="21" t="s">
        <v>1379</v>
      </c>
      <c r="F386" s="21" t="s">
        <v>1369</v>
      </c>
      <c r="G386" s="21" t="s">
        <v>1299</v>
      </c>
      <c r="H386" s="21" t="s">
        <v>1316</v>
      </c>
      <c r="I386" s="22">
        <f>DATE(2024,5,21)</f>
        <v>45433</v>
      </c>
      <c r="J386" s="22">
        <f>DATE(2024,5,21)</f>
        <v>45433</v>
      </c>
      <c r="K386" s="22">
        <f>DATE(2029,5,21)</f>
        <v>47259</v>
      </c>
      <c r="L386" s="21" t="s">
        <v>1307</v>
      </c>
      <c r="M386" s="21" t="s">
        <v>1302</v>
      </c>
    </row>
    <row r="387" spans="1:13" x14ac:dyDescent="0.25">
      <c r="A387" s="21" t="s">
        <v>2092</v>
      </c>
      <c r="B387" s="21" t="s">
        <v>2093</v>
      </c>
      <c r="C387" s="21" t="s">
        <v>1296</v>
      </c>
      <c r="D387" s="21" t="s">
        <v>1297</v>
      </c>
      <c r="E387" s="21" t="s">
        <v>1379</v>
      </c>
      <c r="F387" s="21" t="s">
        <v>1369</v>
      </c>
      <c r="G387" s="21" t="s">
        <v>1305</v>
      </c>
      <c r="H387" s="21" t="s">
        <v>1386</v>
      </c>
      <c r="I387" s="22">
        <f>DATE(2021,3,2)</f>
        <v>44257</v>
      </c>
      <c r="J387" s="22">
        <f>DATE(2021,3,2)</f>
        <v>44257</v>
      </c>
      <c r="K387" s="22">
        <f>DATE(2026,3,2)</f>
        <v>46083</v>
      </c>
      <c r="L387" s="21" t="s">
        <v>1301</v>
      </c>
      <c r="M387" s="21" t="s">
        <v>1302</v>
      </c>
    </row>
    <row r="388" spans="1:13" x14ac:dyDescent="0.25">
      <c r="A388" s="21" t="s">
        <v>2094</v>
      </c>
      <c r="B388" s="21" t="s">
        <v>2095</v>
      </c>
      <c r="C388" s="21" t="s">
        <v>1296</v>
      </c>
      <c r="D388" s="21" t="s">
        <v>1297</v>
      </c>
      <c r="E388" s="21" t="s">
        <v>1379</v>
      </c>
      <c r="F388" s="21" t="s">
        <v>1369</v>
      </c>
      <c r="G388" s="21" t="s">
        <v>1305</v>
      </c>
      <c r="H388" s="21" t="s">
        <v>1316</v>
      </c>
      <c r="I388" s="22">
        <f>DATE(2024,3,22)</f>
        <v>45373</v>
      </c>
      <c r="J388" s="22">
        <f>DATE(2024,3,22)</f>
        <v>45373</v>
      </c>
      <c r="K388" s="22">
        <f>DATE(2029,3,22)</f>
        <v>47199</v>
      </c>
      <c r="L388" s="21" t="s">
        <v>1307</v>
      </c>
      <c r="M388" s="21" t="s">
        <v>1302</v>
      </c>
    </row>
    <row r="389" spans="1:13" x14ac:dyDescent="0.25">
      <c r="A389" s="21" t="s">
        <v>2096</v>
      </c>
      <c r="B389" s="21" t="s">
        <v>2097</v>
      </c>
      <c r="C389" s="21" t="s">
        <v>1296</v>
      </c>
      <c r="D389" s="21" t="s">
        <v>1297</v>
      </c>
      <c r="E389" s="21" t="s">
        <v>1379</v>
      </c>
      <c r="F389" s="21" t="s">
        <v>1369</v>
      </c>
      <c r="G389" s="21" t="s">
        <v>1299</v>
      </c>
      <c r="H389" s="21" t="s">
        <v>1300</v>
      </c>
      <c r="I389" s="22">
        <f>DATE(2020,4,1)</f>
        <v>43922</v>
      </c>
      <c r="J389" s="22">
        <f>DATE(2020,4,1)</f>
        <v>43922</v>
      </c>
      <c r="K389" s="22">
        <f>DATE(2025,4,1)</f>
        <v>45748</v>
      </c>
      <c r="L389" s="21" t="s">
        <v>1301</v>
      </c>
      <c r="M389" s="21" t="s">
        <v>1302</v>
      </c>
    </row>
    <row r="390" spans="1:13" x14ac:dyDescent="0.25">
      <c r="A390" s="21" t="s">
        <v>2098</v>
      </c>
      <c r="B390" s="21" t="s">
        <v>2099</v>
      </c>
      <c r="C390" s="21" t="s">
        <v>1296</v>
      </c>
      <c r="D390" s="21" t="s">
        <v>1297</v>
      </c>
      <c r="E390" s="21" t="s">
        <v>1379</v>
      </c>
      <c r="F390" s="21" t="s">
        <v>1369</v>
      </c>
      <c r="G390" s="21" t="s">
        <v>1299</v>
      </c>
      <c r="H390" s="21" t="s">
        <v>1306</v>
      </c>
      <c r="I390" s="22">
        <f>DATE(2023,10,26)</f>
        <v>45225</v>
      </c>
      <c r="J390" s="22">
        <f>DATE(2023,10,23)</f>
        <v>45222</v>
      </c>
      <c r="K390" s="22">
        <f>DATE(2024,10,1)</f>
        <v>45566</v>
      </c>
      <c r="L390" s="21" t="s">
        <v>1307</v>
      </c>
      <c r="M390" s="21" t="s">
        <v>1302</v>
      </c>
    </row>
    <row r="391" spans="1:13" x14ac:dyDescent="0.25">
      <c r="A391" s="21" t="s">
        <v>2100</v>
      </c>
      <c r="B391" s="21" t="s">
        <v>2101</v>
      </c>
      <c r="C391" s="21" t="s">
        <v>1296</v>
      </c>
      <c r="D391" s="21" t="s">
        <v>1297</v>
      </c>
      <c r="E391" s="21" t="s">
        <v>1379</v>
      </c>
      <c r="F391" s="21" t="s">
        <v>1369</v>
      </c>
      <c r="G391" s="21" t="s">
        <v>1299</v>
      </c>
      <c r="H391" s="21" t="s">
        <v>1386</v>
      </c>
      <c r="I391" s="22">
        <f>DATE(2021,9,29)</f>
        <v>44468</v>
      </c>
      <c r="J391" s="22">
        <f>DATE(2021,9,29)</f>
        <v>44468</v>
      </c>
      <c r="K391" s="22">
        <f>DATE(2026,9,29)</f>
        <v>46294</v>
      </c>
      <c r="L391" s="21" t="s">
        <v>1301</v>
      </c>
      <c r="M391" s="21" t="s">
        <v>1302</v>
      </c>
    </row>
    <row r="392" spans="1:13" x14ac:dyDescent="0.25">
      <c r="A392" s="21" t="s">
        <v>2102</v>
      </c>
      <c r="B392" s="21" t="s">
        <v>2103</v>
      </c>
      <c r="C392" s="21" t="s">
        <v>1296</v>
      </c>
      <c r="D392" s="21" t="s">
        <v>1297</v>
      </c>
      <c r="E392" s="21" t="s">
        <v>1379</v>
      </c>
      <c r="F392" s="21" t="s">
        <v>1369</v>
      </c>
      <c r="G392" s="21" t="s">
        <v>1299</v>
      </c>
      <c r="H392" s="21" t="s">
        <v>1316</v>
      </c>
      <c r="I392" s="22">
        <f>DATE(2020,10,8)</f>
        <v>44112</v>
      </c>
      <c r="J392" s="22">
        <f>DATE(2020,10,8)</f>
        <v>44112</v>
      </c>
      <c r="K392" s="22">
        <f>DATE(2025,10,8)</f>
        <v>45938</v>
      </c>
      <c r="L392" s="21" t="s">
        <v>1301</v>
      </c>
      <c r="M392" s="21" t="s">
        <v>1302</v>
      </c>
    </row>
    <row r="393" spans="1:13" x14ac:dyDescent="0.25">
      <c r="A393" s="21" t="s">
        <v>2104</v>
      </c>
      <c r="B393" s="21" t="s">
        <v>2105</v>
      </c>
      <c r="C393" s="21" t="s">
        <v>1296</v>
      </c>
      <c r="D393" s="21" t="s">
        <v>1297</v>
      </c>
      <c r="E393" s="21" t="s">
        <v>1379</v>
      </c>
      <c r="F393" s="21" t="s">
        <v>1369</v>
      </c>
      <c r="G393" s="21" t="s">
        <v>1299</v>
      </c>
      <c r="H393" s="21" t="s">
        <v>1386</v>
      </c>
      <c r="I393" s="22">
        <f>DATE(2023,11,21)</f>
        <v>45251</v>
      </c>
      <c r="J393" s="22">
        <f>DATE(2023,11,21)</f>
        <v>45251</v>
      </c>
      <c r="K393" s="22">
        <f>DATE(2029,1,18)</f>
        <v>47136</v>
      </c>
      <c r="L393" s="21" t="s">
        <v>1307</v>
      </c>
      <c r="M393" s="21" t="s">
        <v>1302</v>
      </c>
    </row>
    <row r="394" spans="1:13" x14ac:dyDescent="0.25">
      <c r="A394" s="21" t="s">
        <v>2106</v>
      </c>
      <c r="B394" s="21" t="s">
        <v>2107</v>
      </c>
      <c r="C394" s="21" t="s">
        <v>1296</v>
      </c>
      <c r="D394" s="21" t="s">
        <v>1297</v>
      </c>
      <c r="E394" s="21" t="s">
        <v>1379</v>
      </c>
      <c r="F394" s="21" t="s">
        <v>1369</v>
      </c>
      <c r="G394" s="21" t="s">
        <v>1305</v>
      </c>
      <c r="H394" s="21" t="s">
        <v>1316</v>
      </c>
      <c r="I394" s="22">
        <f>DATE(2021,2,26)</f>
        <v>44253</v>
      </c>
      <c r="J394" s="22">
        <f>DATE(2021,2,26)</f>
        <v>44253</v>
      </c>
      <c r="K394" s="22">
        <f>DATE(2026,2,26)</f>
        <v>46079</v>
      </c>
      <c r="L394" s="21" t="s">
        <v>1301</v>
      </c>
      <c r="M394" s="21" t="s">
        <v>1302</v>
      </c>
    </row>
    <row r="395" spans="1:13" x14ac:dyDescent="0.25">
      <c r="A395" s="21" t="s">
        <v>2108</v>
      </c>
      <c r="B395" s="21" t="s">
        <v>2109</v>
      </c>
      <c r="C395" s="21" t="s">
        <v>1296</v>
      </c>
      <c r="D395" s="21" t="s">
        <v>1297</v>
      </c>
      <c r="E395" s="21" t="s">
        <v>1379</v>
      </c>
      <c r="F395" s="21" t="s">
        <v>1369</v>
      </c>
      <c r="G395" s="21" t="s">
        <v>1299</v>
      </c>
      <c r="H395" s="21" t="s">
        <v>1306</v>
      </c>
      <c r="I395" s="22">
        <f>DATE(2024,2,29)</f>
        <v>45351</v>
      </c>
      <c r="J395" s="22">
        <f>DATE(2024,2,29)</f>
        <v>45351</v>
      </c>
      <c r="K395" s="22">
        <f>DATE(2024,12,1)</f>
        <v>45627</v>
      </c>
      <c r="L395" s="21" t="s">
        <v>1307</v>
      </c>
      <c r="M395" s="21" t="s">
        <v>1302</v>
      </c>
    </row>
    <row r="396" spans="1:13" x14ac:dyDescent="0.25">
      <c r="A396" s="21" t="s">
        <v>2110</v>
      </c>
      <c r="B396" s="21" t="s">
        <v>2111</v>
      </c>
      <c r="C396" s="21" t="s">
        <v>1296</v>
      </c>
      <c r="D396" s="21" t="s">
        <v>1297</v>
      </c>
      <c r="E396" s="21" t="s">
        <v>1379</v>
      </c>
      <c r="F396" s="21" t="s">
        <v>1369</v>
      </c>
      <c r="G396" s="21" t="s">
        <v>1299</v>
      </c>
      <c r="H396" s="21" t="s">
        <v>1316</v>
      </c>
      <c r="I396" s="22">
        <f>DATE(2022,8,30)</f>
        <v>44803</v>
      </c>
      <c r="J396" s="22">
        <f>DATE(2022,8,30)</f>
        <v>44803</v>
      </c>
      <c r="K396" s="22">
        <f>DATE(2027,8,30)</f>
        <v>46629</v>
      </c>
      <c r="L396" s="21" t="s">
        <v>1301</v>
      </c>
      <c r="M396" s="21" t="s">
        <v>1302</v>
      </c>
    </row>
    <row r="397" spans="1:13" x14ac:dyDescent="0.25">
      <c r="A397" s="21" t="s">
        <v>2112</v>
      </c>
      <c r="B397" s="21" t="s">
        <v>2113</v>
      </c>
      <c r="C397" s="21" t="s">
        <v>1296</v>
      </c>
      <c r="D397" s="21" t="s">
        <v>1297</v>
      </c>
      <c r="E397" s="21" t="s">
        <v>1379</v>
      </c>
      <c r="F397" s="21" t="s">
        <v>1369</v>
      </c>
      <c r="G397" s="21" t="s">
        <v>1305</v>
      </c>
      <c r="H397" s="21" t="s">
        <v>1386</v>
      </c>
      <c r="I397" s="22">
        <f>DATE(2020,4,3)</f>
        <v>43924</v>
      </c>
      <c r="J397" s="22">
        <f>DATE(2020,4,3)</f>
        <v>43924</v>
      </c>
      <c r="K397" s="22">
        <f>DATE(2025,4,3)</f>
        <v>45750</v>
      </c>
      <c r="L397" s="21" t="s">
        <v>1301</v>
      </c>
      <c r="M397" s="21" t="s">
        <v>1302</v>
      </c>
    </row>
    <row r="398" spans="1:13" x14ac:dyDescent="0.25">
      <c r="A398" s="21" t="s">
        <v>2114</v>
      </c>
      <c r="B398" s="21" t="s">
        <v>2115</v>
      </c>
      <c r="C398" s="21" t="s">
        <v>1296</v>
      </c>
      <c r="D398" s="21" t="s">
        <v>1297</v>
      </c>
      <c r="E398" s="21" t="s">
        <v>1379</v>
      </c>
      <c r="F398" s="21" t="s">
        <v>1369</v>
      </c>
      <c r="G398" s="21" t="s">
        <v>1305</v>
      </c>
      <c r="H398" s="21" t="s">
        <v>1306</v>
      </c>
      <c r="I398" s="22">
        <f>DATE(2024,7,24)</f>
        <v>45497</v>
      </c>
      <c r="J398" s="22">
        <f>DATE(2024,7,31)</f>
        <v>45504</v>
      </c>
      <c r="K398" s="22">
        <f>DATE(2025,8,1)</f>
        <v>45870</v>
      </c>
      <c r="L398" s="21" t="s">
        <v>1307</v>
      </c>
      <c r="M398" s="21" t="s">
        <v>1302</v>
      </c>
    </row>
    <row r="399" spans="1:13" x14ac:dyDescent="0.25">
      <c r="A399" s="21" t="s">
        <v>2116</v>
      </c>
      <c r="B399" s="21" t="s">
        <v>2117</v>
      </c>
      <c r="C399" s="21" t="s">
        <v>1296</v>
      </c>
      <c r="D399" s="21" t="s">
        <v>1297</v>
      </c>
      <c r="E399" s="21" t="s">
        <v>1379</v>
      </c>
      <c r="F399" s="21" t="s">
        <v>1369</v>
      </c>
      <c r="G399" s="21" t="s">
        <v>1299</v>
      </c>
      <c r="H399" s="21" t="s">
        <v>1306</v>
      </c>
      <c r="I399" s="22">
        <f>DATE(2024,5,16)</f>
        <v>45428</v>
      </c>
      <c r="J399" s="22">
        <f>DATE(2024,5,9)</f>
        <v>45421</v>
      </c>
      <c r="K399" s="22">
        <f>DATE(2025,6,3)</f>
        <v>45811</v>
      </c>
      <c r="L399" s="21" t="s">
        <v>1307</v>
      </c>
      <c r="M399" s="21" t="s">
        <v>1302</v>
      </c>
    </row>
    <row r="400" spans="1:13" x14ac:dyDescent="0.25">
      <c r="A400" s="21" t="s">
        <v>2118</v>
      </c>
      <c r="B400" s="21" t="s">
        <v>2119</v>
      </c>
      <c r="C400" s="21" t="s">
        <v>1296</v>
      </c>
      <c r="D400" s="21" t="s">
        <v>1297</v>
      </c>
      <c r="E400" s="21" t="s">
        <v>1379</v>
      </c>
      <c r="F400" s="21" t="s">
        <v>1369</v>
      </c>
      <c r="G400" s="21" t="s">
        <v>1305</v>
      </c>
      <c r="H400" s="21" t="s">
        <v>1300</v>
      </c>
      <c r="I400" s="22">
        <f>DATE(2020,4,1)</f>
        <v>43922</v>
      </c>
      <c r="J400" s="22">
        <f>DATE(2020,4,1)</f>
        <v>43922</v>
      </c>
      <c r="K400" s="22">
        <f>DATE(2025,4,1)</f>
        <v>45748</v>
      </c>
      <c r="L400" s="21" t="s">
        <v>1301</v>
      </c>
      <c r="M400" s="21" t="s">
        <v>1302</v>
      </c>
    </row>
    <row r="401" spans="1:13" x14ac:dyDescent="0.25">
      <c r="A401" s="21" t="s">
        <v>2120</v>
      </c>
      <c r="B401" s="21" t="s">
        <v>2121</v>
      </c>
      <c r="C401" s="21" t="s">
        <v>1296</v>
      </c>
      <c r="D401" s="21" t="s">
        <v>1297</v>
      </c>
      <c r="E401" s="21" t="s">
        <v>1379</v>
      </c>
      <c r="F401" s="21" t="s">
        <v>1369</v>
      </c>
      <c r="G401" s="21" t="s">
        <v>1299</v>
      </c>
      <c r="H401" s="21" t="s">
        <v>1386</v>
      </c>
      <c r="I401" s="22">
        <f>DATE(2020,5,11)</f>
        <v>43962</v>
      </c>
      <c r="J401" s="22">
        <f>DATE(2020,5,11)</f>
        <v>43962</v>
      </c>
      <c r="K401" s="22">
        <f>DATE(2025,5,11)</f>
        <v>45788</v>
      </c>
      <c r="L401" s="21" t="s">
        <v>1301</v>
      </c>
      <c r="M401" s="21" t="s">
        <v>1302</v>
      </c>
    </row>
    <row r="402" spans="1:13" x14ac:dyDescent="0.25">
      <c r="A402" s="21" t="s">
        <v>2122</v>
      </c>
      <c r="B402" s="21" t="s">
        <v>2123</v>
      </c>
      <c r="C402" s="21" t="s">
        <v>1296</v>
      </c>
      <c r="D402" s="21" t="s">
        <v>1297</v>
      </c>
      <c r="E402" s="21" t="s">
        <v>1379</v>
      </c>
      <c r="F402" s="21" t="s">
        <v>1369</v>
      </c>
      <c r="G402" s="21" t="s">
        <v>1299</v>
      </c>
      <c r="H402" s="21" t="s">
        <v>1316</v>
      </c>
      <c r="I402" s="22">
        <f>DATE(2022,1,6)</f>
        <v>44567</v>
      </c>
      <c r="J402" s="22">
        <f>DATE(2022,1,6)</f>
        <v>44567</v>
      </c>
      <c r="K402" s="22">
        <f>DATE(2027,1,6)</f>
        <v>46393</v>
      </c>
      <c r="L402" s="21" t="s">
        <v>1301</v>
      </c>
      <c r="M402" s="21" t="s">
        <v>1302</v>
      </c>
    </row>
    <row r="403" spans="1:13" x14ac:dyDescent="0.25">
      <c r="A403" s="21" t="s">
        <v>2124</v>
      </c>
      <c r="B403" s="21" t="s">
        <v>2125</v>
      </c>
      <c r="C403" s="21" t="s">
        <v>1296</v>
      </c>
      <c r="D403" s="21" t="s">
        <v>1297</v>
      </c>
      <c r="E403" s="21" t="s">
        <v>1379</v>
      </c>
      <c r="F403" s="21" t="s">
        <v>1369</v>
      </c>
      <c r="G403" s="21" t="s">
        <v>1299</v>
      </c>
      <c r="H403" s="21" t="s">
        <v>1306</v>
      </c>
      <c r="I403" s="22">
        <f>DATE(2024,5,17)</f>
        <v>45429</v>
      </c>
      <c r="J403" s="22">
        <f>DATE(2024,5,17)</f>
        <v>45429</v>
      </c>
      <c r="K403" s="22">
        <f>DATE(2025,5,1)</f>
        <v>45778</v>
      </c>
      <c r="L403" s="21" t="s">
        <v>1307</v>
      </c>
      <c r="M403" s="21" t="s">
        <v>1302</v>
      </c>
    </row>
    <row r="404" spans="1:13" x14ac:dyDescent="0.25">
      <c r="A404" s="21" t="s">
        <v>2126</v>
      </c>
      <c r="B404" s="21" t="s">
        <v>2127</v>
      </c>
      <c r="C404" s="21" t="s">
        <v>1296</v>
      </c>
      <c r="D404" s="21" t="s">
        <v>1297</v>
      </c>
      <c r="E404" s="21" t="s">
        <v>1379</v>
      </c>
      <c r="F404" s="21" t="s">
        <v>1369</v>
      </c>
      <c r="G404" s="21" t="s">
        <v>1299</v>
      </c>
      <c r="H404" s="21" t="s">
        <v>1306</v>
      </c>
      <c r="I404" s="22">
        <f>DATE(2024,2,20)</f>
        <v>45342</v>
      </c>
      <c r="J404" s="22">
        <f>DATE(2024,2,20)</f>
        <v>45342</v>
      </c>
      <c r="K404" s="22">
        <f>DATE(2025,1,1)</f>
        <v>45658</v>
      </c>
      <c r="L404" s="21" t="s">
        <v>1307</v>
      </c>
      <c r="M404" s="21" t="s">
        <v>1302</v>
      </c>
    </row>
    <row r="405" spans="1:13" x14ac:dyDescent="0.25">
      <c r="A405" s="21" t="s">
        <v>2128</v>
      </c>
      <c r="B405" s="21" t="s">
        <v>2129</v>
      </c>
      <c r="C405" s="21" t="s">
        <v>1296</v>
      </c>
      <c r="D405" s="21" t="s">
        <v>1297</v>
      </c>
      <c r="E405" s="21" t="s">
        <v>1379</v>
      </c>
      <c r="F405" s="21" t="s">
        <v>1369</v>
      </c>
      <c r="G405" s="21" t="s">
        <v>1299</v>
      </c>
      <c r="H405" s="21" t="s">
        <v>1300</v>
      </c>
      <c r="I405" s="22">
        <f>DATE(2019,12,3)</f>
        <v>43802</v>
      </c>
      <c r="J405" s="22">
        <f>DATE(2019,12,3)</f>
        <v>43802</v>
      </c>
      <c r="K405" s="22">
        <f>DATE(2024,12,3)</f>
        <v>45629</v>
      </c>
      <c r="L405" s="21" t="s">
        <v>1301</v>
      </c>
      <c r="M405" s="21" t="s">
        <v>1302</v>
      </c>
    </row>
    <row r="406" spans="1:13" x14ac:dyDescent="0.25">
      <c r="A406" s="21" t="s">
        <v>2130</v>
      </c>
      <c r="B406" s="21" t="s">
        <v>2131</v>
      </c>
      <c r="C406" s="21" t="s">
        <v>1296</v>
      </c>
      <c r="D406" s="21" t="s">
        <v>1297</v>
      </c>
      <c r="E406" s="21" t="s">
        <v>1379</v>
      </c>
      <c r="F406" s="21" t="s">
        <v>1369</v>
      </c>
      <c r="G406" s="21" t="s">
        <v>1305</v>
      </c>
      <c r="H406" s="21" t="s">
        <v>1316</v>
      </c>
      <c r="I406" s="22">
        <f>DATE(2021,3,18)</f>
        <v>44273</v>
      </c>
      <c r="J406" s="22">
        <f>DATE(2021,3,11)</f>
        <v>44266</v>
      </c>
      <c r="K406" s="22">
        <f>DATE(2026,3,18)</f>
        <v>46099</v>
      </c>
      <c r="L406" s="21" t="s">
        <v>1301</v>
      </c>
      <c r="M406" s="21" t="s">
        <v>1302</v>
      </c>
    </row>
    <row r="407" spans="1:13" x14ac:dyDescent="0.25">
      <c r="A407" s="21" t="s">
        <v>2132</v>
      </c>
      <c r="B407" s="21" t="s">
        <v>2133</v>
      </c>
      <c r="C407" s="21" t="s">
        <v>1296</v>
      </c>
      <c r="D407" s="21" t="s">
        <v>1297</v>
      </c>
      <c r="E407" s="21" t="s">
        <v>1379</v>
      </c>
      <c r="F407" s="21" t="s">
        <v>1369</v>
      </c>
      <c r="G407" s="21" t="s">
        <v>1299</v>
      </c>
      <c r="H407" s="21" t="s">
        <v>1316</v>
      </c>
      <c r="I407" s="22">
        <f>DATE(2023,7,11)</f>
        <v>45118</v>
      </c>
      <c r="J407" s="22">
        <f>DATE(2023,7,11)</f>
        <v>45118</v>
      </c>
      <c r="K407" s="22">
        <f>DATE(2028,7,11)</f>
        <v>46945</v>
      </c>
      <c r="L407" s="21" t="s">
        <v>1301</v>
      </c>
      <c r="M407" s="21" t="s">
        <v>1302</v>
      </c>
    </row>
    <row r="408" spans="1:13" x14ac:dyDescent="0.25">
      <c r="A408" s="21" t="s">
        <v>2134</v>
      </c>
      <c r="B408" s="21" t="s">
        <v>2135</v>
      </c>
      <c r="C408" s="21" t="s">
        <v>1296</v>
      </c>
      <c r="D408" s="21" t="s">
        <v>1297</v>
      </c>
      <c r="E408" s="21" t="s">
        <v>1379</v>
      </c>
      <c r="F408" s="21" t="s">
        <v>1369</v>
      </c>
      <c r="G408" s="21" t="s">
        <v>1299</v>
      </c>
      <c r="H408" s="21" t="s">
        <v>1297</v>
      </c>
      <c r="I408" s="22">
        <f>DATE(1900,1,1)</f>
        <v>1</v>
      </c>
      <c r="J408" s="22">
        <f>DATE(1900,1,1)</f>
        <v>1</v>
      </c>
      <c r="K408" s="22">
        <f>DATE(1900,1,1)</f>
        <v>1</v>
      </c>
      <c r="L408" s="21" t="s">
        <v>1297</v>
      </c>
      <c r="M408" s="21" t="s">
        <v>1302</v>
      </c>
    </row>
    <row r="409" spans="1:13" x14ac:dyDescent="0.25">
      <c r="A409" s="21" t="s">
        <v>2136</v>
      </c>
      <c r="B409" s="21" t="s">
        <v>2137</v>
      </c>
      <c r="C409" s="21" t="s">
        <v>1296</v>
      </c>
      <c r="D409" s="21" t="s">
        <v>1297</v>
      </c>
      <c r="E409" s="21" t="s">
        <v>1379</v>
      </c>
      <c r="F409" s="21" t="s">
        <v>1369</v>
      </c>
      <c r="G409" s="21" t="s">
        <v>1299</v>
      </c>
      <c r="H409" s="21" t="s">
        <v>1306</v>
      </c>
      <c r="I409" s="22">
        <f>DATE(2024,2,6)</f>
        <v>45328</v>
      </c>
      <c r="J409" s="22">
        <f>DATE(2024,2,6)</f>
        <v>45328</v>
      </c>
      <c r="K409" s="22">
        <f>DATE(2025,1,1)</f>
        <v>45658</v>
      </c>
      <c r="L409" s="21" t="s">
        <v>1307</v>
      </c>
      <c r="M409" s="21" t="s">
        <v>1302</v>
      </c>
    </row>
    <row r="410" spans="1:13" x14ac:dyDescent="0.25">
      <c r="A410" s="21" t="s">
        <v>2138</v>
      </c>
      <c r="B410" s="21" t="s">
        <v>2139</v>
      </c>
      <c r="C410" s="21" t="s">
        <v>1296</v>
      </c>
      <c r="D410" s="21" t="s">
        <v>1297</v>
      </c>
      <c r="E410" s="21" t="s">
        <v>1379</v>
      </c>
      <c r="F410" s="21" t="s">
        <v>1369</v>
      </c>
      <c r="G410" s="21" t="s">
        <v>1299</v>
      </c>
      <c r="H410" s="21" t="s">
        <v>1300</v>
      </c>
      <c r="I410" s="22">
        <f>DATE(2022,6,29)</f>
        <v>44741</v>
      </c>
      <c r="J410" s="22">
        <f>DATE(2022,6,29)</f>
        <v>44741</v>
      </c>
      <c r="K410" s="22">
        <f>DATE(2027,6,29)</f>
        <v>46567</v>
      </c>
      <c r="L410" s="21" t="s">
        <v>1301</v>
      </c>
      <c r="M410" s="21" t="s">
        <v>1302</v>
      </c>
    </row>
    <row r="411" spans="1:13" x14ac:dyDescent="0.25">
      <c r="A411" s="21" t="s">
        <v>2140</v>
      </c>
      <c r="B411" s="21" t="s">
        <v>2141</v>
      </c>
      <c r="C411" s="21" t="s">
        <v>1359</v>
      </c>
      <c r="D411" s="21" t="s">
        <v>1297</v>
      </c>
      <c r="E411" s="21" t="s">
        <v>1379</v>
      </c>
      <c r="F411" s="21" t="s">
        <v>1369</v>
      </c>
      <c r="G411" s="21" t="s">
        <v>1299</v>
      </c>
      <c r="H411" s="21" t="s">
        <v>1297</v>
      </c>
      <c r="I411" s="22">
        <f t="shared" ref="I411:K412" si="14">DATE(1900,1,1)</f>
        <v>1</v>
      </c>
      <c r="J411" s="22">
        <f t="shared" si="14"/>
        <v>1</v>
      </c>
      <c r="K411" s="22">
        <f t="shared" si="14"/>
        <v>1</v>
      </c>
      <c r="L411" s="21" t="s">
        <v>1297</v>
      </c>
      <c r="M411" s="21" t="s">
        <v>1302</v>
      </c>
    </row>
    <row r="412" spans="1:13" x14ac:dyDescent="0.25">
      <c r="A412" s="21" t="s">
        <v>2142</v>
      </c>
      <c r="B412" s="21" t="s">
        <v>2143</v>
      </c>
      <c r="C412" s="21" t="s">
        <v>1359</v>
      </c>
      <c r="D412" s="21" t="s">
        <v>1297</v>
      </c>
      <c r="E412" s="21" t="s">
        <v>1379</v>
      </c>
      <c r="F412" s="21" t="s">
        <v>1369</v>
      </c>
      <c r="G412" s="21" t="s">
        <v>1299</v>
      </c>
      <c r="H412" s="21" t="s">
        <v>1297</v>
      </c>
      <c r="I412" s="22">
        <f t="shared" si="14"/>
        <v>1</v>
      </c>
      <c r="J412" s="22">
        <f t="shared" si="14"/>
        <v>1</v>
      </c>
      <c r="K412" s="22">
        <f t="shared" si="14"/>
        <v>1</v>
      </c>
      <c r="L412" s="21" t="s">
        <v>1297</v>
      </c>
      <c r="M412" s="21" t="s">
        <v>1302</v>
      </c>
    </row>
    <row r="413" spans="1:13" x14ac:dyDescent="0.25">
      <c r="A413" s="21" t="s">
        <v>2144</v>
      </c>
      <c r="B413" s="21" t="s">
        <v>2145</v>
      </c>
      <c r="C413" s="21" t="s">
        <v>1296</v>
      </c>
      <c r="D413" s="21" t="s">
        <v>1297</v>
      </c>
      <c r="E413" s="21" t="s">
        <v>1379</v>
      </c>
      <c r="F413" s="21" t="s">
        <v>1369</v>
      </c>
      <c r="G413" s="21" t="s">
        <v>1299</v>
      </c>
      <c r="H413" s="21" t="s">
        <v>1300</v>
      </c>
      <c r="I413" s="22">
        <f>DATE(2020,9,1)</f>
        <v>44075</v>
      </c>
      <c r="J413" s="22">
        <f>DATE(2020,9,1)</f>
        <v>44075</v>
      </c>
      <c r="K413" s="22">
        <f>DATE(2025,9,1)</f>
        <v>45901</v>
      </c>
      <c r="L413" s="21" t="s">
        <v>1301</v>
      </c>
      <c r="M413" s="21" t="s">
        <v>1302</v>
      </c>
    </row>
    <row r="414" spans="1:13" x14ac:dyDescent="0.25">
      <c r="A414" s="21" t="s">
        <v>2146</v>
      </c>
      <c r="B414" s="21" t="s">
        <v>2147</v>
      </c>
      <c r="C414" s="21" t="s">
        <v>1296</v>
      </c>
      <c r="D414" s="21" t="s">
        <v>1297</v>
      </c>
      <c r="E414" s="21" t="s">
        <v>1379</v>
      </c>
      <c r="F414" s="21" t="s">
        <v>1369</v>
      </c>
      <c r="G414" s="21" t="s">
        <v>1299</v>
      </c>
      <c r="H414" s="21" t="s">
        <v>1300</v>
      </c>
      <c r="I414" s="22">
        <f>DATE(2020,2,17)</f>
        <v>43878</v>
      </c>
      <c r="J414" s="22">
        <f>DATE(2020,2,17)</f>
        <v>43878</v>
      </c>
      <c r="K414" s="22">
        <f>DATE(2025,2,17)</f>
        <v>45705</v>
      </c>
      <c r="L414" s="21" t="s">
        <v>1301</v>
      </c>
      <c r="M414" s="21" t="s">
        <v>1302</v>
      </c>
    </row>
    <row r="415" spans="1:13" x14ac:dyDescent="0.25">
      <c r="A415" s="21" t="s">
        <v>2148</v>
      </c>
      <c r="B415" s="21" t="s">
        <v>2149</v>
      </c>
      <c r="C415" s="21" t="s">
        <v>1296</v>
      </c>
      <c r="D415" s="21" t="s">
        <v>1297</v>
      </c>
      <c r="E415" s="21" t="s">
        <v>1379</v>
      </c>
      <c r="F415" s="21" t="s">
        <v>1369</v>
      </c>
      <c r="G415" s="21" t="s">
        <v>1299</v>
      </c>
      <c r="H415" s="21" t="s">
        <v>1300</v>
      </c>
      <c r="I415" s="22">
        <f>DATE(2020,9,2)</f>
        <v>44076</v>
      </c>
      <c r="J415" s="22">
        <f>DATE(2020,9,2)</f>
        <v>44076</v>
      </c>
      <c r="K415" s="22">
        <f>DATE(2025,9,2)</f>
        <v>45902</v>
      </c>
      <c r="L415" s="21" t="s">
        <v>1301</v>
      </c>
      <c r="M415" s="21" t="s">
        <v>1302</v>
      </c>
    </row>
    <row r="416" spans="1:13" x14ac:dyDescent="0.25">
      <c r="A416" s="21" t="s">
        <v>2150</v>
      </c>
      <c r="B416" s="21" t="s">
        <v>2151</v>
      </c>
      <c r="C416" s="21" t="s">
        <v>1296</v>
      </c>
      <c r="D416" s="21" t="s">
        <v>1297</v>
      </c>
      <c r="E416" s="21" t="s">
        <v>1379</v>
      </c>
      <c r="F416" s="21" t="s">
        <v>1369</v>
      </c>
      <c r="G416" s="21" t="s">
        <v>1299</v>
      </c>
      <c r="H416" s="21" t="s">
        <v>1316</v>
      </c>
      <c r="I416" s="22">
        <f>DATE(2024,2,20)</f>
        <v>45342</v>
      </c>
      <c r="J416" s="22">
        <f>DATE(2024,2,20)</f>
        <v>45342</v>
      </c>
      <c r="K416" s="22">
        <f>DATE(2029,2,20)</f>
        <v>47169</v>
      </c>
      <c r="L416" s="21" t="s">
        <v>1307</v>
      </c>
      <c r="M416" s="21" t="s">
        <v>1302</v>
      </c>
    </row>
    <row r="417" spans="1:13" x14ac:dyDescent="0.25">
      <c r="A417" s="21" t="s">
        <v>2152</v>
      </c>
      <c r="B417" s="21" t="s">
        <v>2153</v>
      </c>
      <c r="C417" s="21" t="s">
        <v>1296</v>
      </c>
      <c r="D417" s="21" t="s">
        <v>1297</v>
      </c>
      <c r="E417" s="21" t="s">
        <v>1379</v>
      </c>
      <c r="F417" s="21" t="s">
        <v>1369</v>
      </c>
      <c r="G417" s="21" t="s">
        <v>1299</v>
      </c>
      <c r="H417" s="21" t="s">
        <v>1316</v>
      </c>
      <c r="I417" s="22">
        <f>DATE(2020,9,4)</f>
        <v>44078</v>
      </c>
      <c r="J417" s="22">
        <f>DATE(2020,9,4)</f>
        <v>44078</v>
      </c>
      <c r="K417" s="22">
        <f>DATE(2025,9,4)</f>
        <v>45904</v>
      </c>
      <c r="L417" s="21" t="s">
        <v>1301</v>
      </c>
      <c r="M417" s="21" t="s">
        <v>1302</v>
      </c>
    </row>
    <row r="418" spans="1:13" x14ac:dyDescent="0.25">
      <c r="A418" s="21" t="s">
        <v>2154</v>
      </c>
      <c r="B418" s="21" t="s">
        <v>2155</v>
      </c>
      <c r="C418" s="21" t="s">
        <v>1296</v>
      </c>
      <c r="D418" s="21" t="s">
        <v>1297</v>
      </c>
      <c r="E418" s="21" t="s">
        <v>1379</v>
      </c>
      <c r="F418" s="21" t="s">
        <v>1369</v>
      </c>
      <c r="G418" s="21" t="s">
        <v>1305</v>
      </c>
      <c r="H418" s="21" t="s">
        <v>1386</v>
      </c>
      <c r="I418" s="22">
        <f>DATE(2021,3,23)</f>
        <v>44278</v>
      </c>
      <c r="J418" s="22">
        <f>DATE(2021,3,23)</f>
        <v>44278</v>
      </c>
      <c r="K418" s="22">
        <f>DATE(2026,3,23)</f>
        <v>46104</v>
      </c>
      <c r="L418" s="21" t="s">
        <v>1301</v>
      </c>
      <c r="M418" s="21" t="s">
        <v>1302</v>
      </c>
    </row>
    <row r="419" spans="1:13" x14ac:dyDescent="0.25">
      <c r="A419" s="21" t="s">
        <v>2156</v>
      </c>
      <c r="B419" s="21" t="s">
        <v>2157</v>
      </c>
      <c r="C419" s="21" t="s">
        <v>1296</v>
      </c>
      <c r="D419" s="21" t="s">
        <v>1297</v>
      </c>
      <c r="E419" s="21" t="s">
        <v>1379</v>
      </c>
      <c r="F419" s="21" t="s">
        <v>1369</v>
      </c>
      <c r="G419" s="21" t="s">
        <v>1299</v>
      </c>
      <c r="H419" s="21" t="s">
        <v>1300</v>
      </c>
      <c r="I419" s="22">
        <f>DATE(2020,3,17)</f>
        <v>43907</v>
      </c>
      <c r="J419" s="22">
        <f>DATE(2020,3,17)</f>
        <v>43907</v>
      </c>
      <c r="K419" s="22">
        <f>DATE(2025,3,17)</f>
        <v>45733</v>
      </c>
      <c r="L419" s="21" t="s">
        <v>1301</v>
      </c>
      <c r="M419" s="21" t="s">
        <v>1302</v>
      </c>
    </row>
    <row r="420" spans="1:13" x14ac:dyDescent="0.25">
      <c r="A420" s="21" t="s">
        <v>2158</v>
      </c>
      <c r="B420" s="21" t="s">
        <v>2159</v>
      </c>
      <c r="C420" s="21" t="s">
        <v>1296</v>
      </c>
      <c r="D420" s="21" t="s">
        <v>1297</v>
      </c>
      <c r="E420" s="21" t="s">
        <v>1379</v>
      </c>
      <c r="F420" s="21" t="s">
        <v>1369</v>
      </c>
      <c r="G420" s="21" t="s">
        <v>1299</v>
      </c>
      <c r="H420" s="21" t="s">
        <v>1386</v>
      </c>
      <c r="I420" s="22">
        <f>DATE(2022,9,1)</f>
        <v>44805</v>
      </c>
      <c r="J420" s="22">
        <f>DATE(2022,9,1)</f>
        <v>44805</v>
      </c>
      <c r="K420" s="22">
        <f>DATE(2027,9,1)</f>
        <v>46631</v>
      </c>
      <c r="L420" s="21" t="s">
        <v>1301</v>
      </c>
      <c r="M420" s="21" t="s">
        <v>1302</v>
      </c>
    </row>
    <row r="421" spans="1:13" x14ac:dyDescent="0.25">
      <c r="A421" s="21" t="s">
        <v>2160</v>
      </c>
      <c r="B421" s="21" t="s">
        <v>2161</v>
      </c>
      <c r="C421" s="21" t="s">
        <v>1296</v>
      </c>
      <c r="D421" s="21" t="s">
        <v>1297</v>
      </c>
      <c r="E421" s="21" t="s">
        <v>1379</v>
      </c>
      <c r="F421" s="21" t="s">
        <v>1369</v>
      </c>
      <c r="G421" s="21" t="s">
        <v>1299</v>
      </c>
      <c r="H421" s="21" t="s">
        <v>1386</v>
      </c>
      <c r="I421" s="22">
        <f>DATE(2020,9,8)</f>
        <v>44082</v>
      </c>
      <c r="J421" s="22">
        <f>DATE(2020,9,8)</f>
        <v>44082</v>
      </c>
      <c r="K421" s="22">
        <f>DATE(2025,9,8)</f>
        <v>45908</v>
      </c>
      <c r="L421" s="21" t="s">
        <v>1301</v>
      </c>
      <c r="M421" s="21" t="s">
        <v>1302</v>
      </c>
    </row>
    <row r="422" spans="1:13" x14ac:dyDescent="0.25">
      <c r="A422" s="21" t="s">
        <v>2162</v>
      </c>
      <c r="B422" s="21" t="s">
        <v>2163</v>
      </c>
      <c r="C422" s="21" t="s">
        <v>1296</v>
      </c>
      <c r="D422" s="21" t="s">
        <v>1297</v>
      </c>
      <c r="E422" s="21" t="s">
        <v>1379</v>
      </c>
      <c r="F422" s="21" t="s">
        <v>1369</v>
      </c>
      <c r="G422" s="21" t="s">
        <v>1299</v>
      </c>
      <c r="H422" s="21" t="s">
        <v>1306</v>
      </c>
      <c r="I422" s="22">
        <f>DATE(2024,10,8)</f>
        <v>45573</v>
      </c>
      <c r="J422" s="22">
        <f>DATE(2024,10,8)</f>
        <v>45573</v>
      </c>
      <c r="K422" s="22">
        <f>DATE(2025,10,1)</f>
        <v>45931</v>
      </c>
      <c r="L422" s="21" t="s">
        <v>1307</v>
      </c>
      <c r="M422" s="21" t="s">
        <v>1302</v>
      </c>
    </row>
    <row r="423" spans="1:13" x14ac:dyDescent="0.25">
      <c r="A423" s="21" t="s">
        <v>2164</v>
      </c>
      <c r="B423" s="21" t="s">
        <v>2165</v>
      </c>
      <c r="C423" s="21" t="s">
        <v>1296</v>
      </c>
      <c r="D423" s="21" t="s">
        <v>1297</v>
      </c>
      <c r="E423" s="21" t="s">
        <v>1379</v>
      </c>
      <c r="F423" s="21" t="s">
        <v>1369</v>
      </c>
      <c r="G423" s="21" t="s">
        <v>1299</v>
      </c>
      <c r="H423" s="21" t="s">
        <v>1386</v>
      </c>
      <c r="I423" s="22">
        <f>DATE(2020,9,8)</f>
        <v>44082</v>
      </c>
      <c r="J423" s="22">
        <f>DATE(2020,9,8)</f>
        <v>44082</v>
      </c>
      <c r="K423" s="22">
        <f>DATE(2025,9,8)</f>
        <v>45908</v>
      </c>
      <c r="L423" s="21" t="s">
        <v>1301</v>
      </c>
      <c r="M423" s="21" t="s">
        <v>1302</v>
      </c>
    </row>
    <row r="424" spans="1:13" x14ac:dyDescent="0.25">
      <c r="A424" s="21" t="s">
        <v>2166</v>
      </c>
      <c r="B424" s="21" t="s">
        <v>2167</v>
      </c>
      <c r="C424" s="21" t="s">
        <v>1296</v>
      </c>
      <c r="D424" s="21" t="s">
        <v>1297</v>
      </c>
      <c r="E424" s="21" t="s">
        <v>1379</v>
      </c>
      <c r="F424" s="21" t="s">
        <v>1369</v>
      </c>
      <c r="G424" s="21" t="s">
        <v>1305</v>
      </c>
      <c r="H424" s="21" t="s">
        <v>1300</v>
      </c>
      <c r="I424" s="22">
        <f>DATE(2020,3,27)</f>
        <v>43917</v>
      </c>
      <c r="J424" s="22">
        <f>DATE(2020,3,27)</f>
        <v>43917</v>
      </c>
      <c r="K424" s="22">
        <f>DATE(2025,3,27)</f>
        <v>45743</v>
      </c>
      <c r="L424" s="21" t="s">
        <v>1301</v>
      </c>
      <c r="M424" s="21" t="s">
        <v>1302</v>
      </c>
    </row>
    <row r="425" spans="1:13" x14ac:dyDescent="0.25">
      <c r="A425" s="21" t="s">
        <v>2168</v>
      </c>
      <c r="B425" s="21" t="s">
        <v>2169</v>
      </c>
      <c r="C425" s="21" t="s">
        <v>1296</v>
      </c>
      <c r="D425" s="21" t="s">
        <v>1297</v>
      </c>
      <c r="E425" s="21" t="s">
        <v>1379</v>
      </c>
      <c r="F425" s="21" t="s">
        <v>1369</v>
      </c>
      <c r="G425" s="21" t="s">
        <v>1299</v>
      </c>
      <c r="H425" s="21" t="s">
        <v>1300</v>
      </c>
      <c r="I425" s="22">
        <f>DATE(2020,7,7)</f>
        <v>44019</v>
      </c>
      <c r="J425" s="22">
        <f>DATE(2020,7,7)</f>
        <v>44019</v>
      </c>
      <c r="K425" s="22">
        <f>DATE(2025,7,7)</f>
        <v>45845</v>
      </c>
      <c r="L425" s="21" t="s">
        <v>1301</v>
      </c>
      <c r="M425" s="21" t="s">
        <v>1302</v>
      </c>
    </row>
    <row r="426" spans="1:13" x14ac:dyDescent="0.25">
      <c r="A426" s="21" t="s">
        <v>2170</v>
      </c>
      <c r="B426" s="21" t="s">
        <v>2171</v>
      </c>
      <c r="C426" s="21" t="s">
        <v>1296</v>
      </c>
      <c r="D426" s="21" t="s">
        <v>1297</v>
      </c>
      <c r="E426" s="21" t="s">
        <v>1379</v>
      </c>
      <c r="F426" s="21" t="s">
        <v>1369</v>
      </c>
      <c r="G426" s="21" t="s">
        <v>1299</v>
      </c>
      <c r="H426" s="21" t="s">
        <v>1300</v>
      </c>
      <c r="I426" s="22">
        <f>DATE(2020,4,1)</f>
        <v>43922</v>
      </c>
      <c r="J426" s="22">
        <f>DATE(2020,4,1)</f>
        <v>43922</v>
      </c>
      <c r="K426" s="22">
        <f>DATE(2025,4,1)</f>
        <v>45748</v>
      </c>
      <c r="L426" s="21" t="s">
        <v>1301</v>
      </c>
      <c r="M426" s="21" t="s">
        <v>1302</v>
      </c>
    </row>
    <row r="427" spans="1:13" x14ac:dyDescent="0.25">
      <c r="A427" s="21" t="s">
        <v>2172</v>
      </c>
      <c r="B427" s="21" t="s">
        <v>2173</v>
      </c>
      <c r="C427" s="21" t="s">
        <v>1296</v>
      </c>
      <c r="D427" s="21" t="s">
        <v>1297</v>
      </c>
      <c r="E427" s="21" t="s">
        <v>1379</v>
      </c>
      <c r="F427" s="21" t="s">
        <v>1369</v>
      </c>
      <c r="G427" s="21" t="s">
        <v>1305</v>
      </c>
      <c r="H427" s="21" t="s">
        <v>1386</v>
      </c>
      <c r="I427" s="22">
        <f>DATE(2021,3,18)</f>
        <v>44273</v>
      </c>
      <c r="J427" s="22">
        <f>DATE(2021,3,18)</f>
        <v>44273</v>
      </c>
      <c r="K427" s="22">
        <f>DATE(2026,3,18)</f>
        <v>46099</v>
      </c>
      <c r="L427" s="21" t="s">
        <v>1301</v>
      </c>
      <c r="M427" s="21" t="s">
        <v>1302</v>
      </c>
    </row>
    <row r="428" spans="1:13" x14ac:dyDescent="0.25">
      <c r="A428" s="21" t="s">
        <v>2174</v>
      </c>
      <c r="B428" s="21" t="s">
        <v>2175</v>
      </c>
      <c r="C428" s="21" t="s">
        <v>1296</v>
      </c>
      <c r="D428" s="21" t="s">
        <v>1297</v>
      </c>
      <c r="E428" s="21" t="s">
        <v>1379</v>
      </c>
      <c r="F428" s="21" t="s">
        <v>1369</v>
      </c>
      <c r="G428" s="21" t="s">
        <v>1299</v>
      </c>
      <c r="H428" s="21" t="s">
        <v>1300</v>
      </c>
      <c r="I428" s="22">
        <f>DATE(2020,9,10)</f>
        <v>44084</v>
      </c>
      <c r="J428" s="22">
        <f>DATE(2020,9,10)</f>
        <v>44084</v>
      </c>
      <c r="K428" s="22">
        <f>DATE(2025,9,10)</f>
        <v>45910</v>
      </c>
      <c r="L428" s="21" t="s">
        <v>1301</v>
      </c>
      <c r="M428" s="21" t="s">
        <v>1302</v>
      </c>
    </row>
    <row r="429" spans="1:13" x14ac:dyDescent="0.25">
      <c r="A429" s="21" t="s">
        <v>2176</v>
      </c>
      <c r="B429" s="21" t="s">
        <v>2177</v>
      </c>
      <c r="C429" s="21" t="s">
        <v>1359</v>
      </c>
      <c r="D429" s="21" t="s">
        <v>1297</v>
      </c>
      <c r="E429" s="21" t="s">
        <v>1379</v>
      </c>
      <c r="F429" s="21" t="s">
        <v>1369</v>
      </c>
      <c r="G429" s="21" t="s">
        <v>1299</v>
      </c>
      <c r="H429" s="21" t="s">
        <v>1321</v>
      </c>
      <c r="I429" s="22">
        <f>DATE(2023,9,27)</f>
        <v>45196</v>
      </c>
      <c r="J429" s="22">
        <f>DATE(2023,9,27)</f>
        <v>45196</v>
      </c>
      <c r="K429" s="22">
        <f>DATE(1900,1,1)</f>
        <v>1</v>
      </c>
      <c r="L429" s="21" t="s">
        <v>1307</v>
      </c>
      <c r="M429" s="21" t="s">
        <v>1360</v>
      </c>
    </row>
    <row r="430" spans="1:13" x14ac:dyDescent="0.25">
      <c r="A430" s="21" t="s">
        <v>2178</v>
      </c>
      <c r="B430" s="21" t="s">
        <v>2179</v>
      </c>
      <c r="C430" s="21" t="s">
        <v>1296</v>
      </c>
      <c r="D430" s="21" t="s">
        <v>1297</v>
      </c>
      <c r="E430" s="21" t="s">
        <v>1379</v>
      </c>
      <c r="F430" s="21" t="s">
        <v>1369</v>
      </c>
      <c r="G430" s="21" t="s">
        <v>1299</v>
      </c>
      <c r="H430" s="21" t="s">
        <v>1306</v>
      </c>
      <c r="I430" s="22">
        <f>DATE(2021,2,18)</f>
        <v>44245</v>
      </c>
      <c r="J430" s="22">
        <f>DATE(2021,2,18)</f>
        <v>44245</v>
      </c>
      <c r="K430" s="22">
        <f>DATE(2022,1,1)</f>
        <v>44562</v>
      </c>
      <c r="L430" s="21" t="s">
        <v>1301</v>
      </c>
      <c r="M430" s="21" t="s">
        <v>1360</v>
      </c>
    </row>
    <row r="431" spans="1:13" x14ac:dyDescent="0.25">
      <c r="A431" s="21" t="s">
        <v>2180</v>
      </c>
      <c r="B431" s="21" t="s">
        <v>2181</v>
      </c>
      <c r="C431" s="21" t="s">
        <v>1296</v>
      </c>
      <c r="D431" s="21" t="s">
        <v>1297</v>
      </c>
      <c r="E431" s="21" t="s">
        <v>1379</v>
      </c>
      <c r="F431" s="21" t="s">
        <v>1369</v>
      </c>
      <c r="G431" s="21" t="s">
        <v>1305</v>
      </c>
      <c r="H431" s="21" t="s">
        <v>1386</v>
      </c>
      <c r="I431" s="22">
        <f>DATE(2021,8,30)</f>
        <v>44438</v>
      </c>
      <c r="J431" s="22">
        <f>DATE(2021,8,30)</f>
        <v>44438</v>
      </c>
      <c r="K431" s="22">
        <f>DATE(2026,8,30)</f>
        <v>46264</v>
      </c>
      <c r="L431" s="21" t="s">
        <v>1301</v>
      </c>
      <c r="M431" s="21" t="s">
        <v>1360</v>
      </c>
    </row>
    <row r="432" spans="1:13" x14ac:dyDescent="0.25">
      <c r="A432" s="21" t="s">
        <v>2182</v>
      </c>
      <c r="B432" s="21" t="s">
        <v>2183</v>
      </c>
      <c r="C432" s="21" t="s">
        <v>1296</v>
      </c>
      <c r="D432" s="21" t="s">
        <v>1297</v>
      </c>
      <c r="E432" s="21" t="s">
        <v>1379</v>
      </c>
      <c r="F432" s="21" t="s">
        <v>1369</v>
      </c>
      <c r="G432" s="21" t="s">
        <v>1305</v>
      </c>
      <c r="H432" s="21" t="s">
        <v>1300</v>
      </c>
      <c r="I432" s="22">
        <f>DATE(2021,2,24)</f>
        <v>44251</v>
      </c>
      <c r="J432" s="22">
        <f>DATE(2021,2,24)</f>
        <v>44251</v>
      </c>
      <c r="K432" s="22">
        <f>DATE(2026,2,24)</f>
        <v>46077</v>
      </c>
      <c r="L432" s="21" t="s">
        <v>1301</v>
      </c>
      <c r="M432" s="21" t="s">
        <v>1360</v>
      </c>
    </row>
    <row r="433" spans="1:13" x14ac:dyDescent="0.25">
      <c r="A433" s="21" t="s">
        <v>2184</v>
      </c>
      <c r="B433" s="21" t="s">
        <v>2185</v>
      </c>
      <c r="C433" s="21" t="s">
        <v>1296</v>
      </c>
      <c r="D433" s="21" t="s">
        <v>1297</v>
      </c>
      <c r="E433" s="21" t="s">
        <v>1379</v>
      </c>
      <c r="F433" s="21" t="s">
        <v>1369</v>
      </c>
      <c r="G433" s="21" t="s">
        <v>1299</v>
      </c>
      <c r="H433" s="21" t="s">
        <v>1300</v>
      </c>
      <c r="I433" s="22">
        <f>DATE(2020,8,10)</f>
        <v>44053</v>
      </c>
      <c r="J433" s="22">
        <f>DATE(2020,8,10)</f>
        <v>44053</v>
      </c>
      <c r="K433" s="22">
        <f>DATE(2025,8,10)</f>
        <v>45879</v>
      </c>
      <c r="L433" s="21" t="s">
        <v>1301</v>
      </c>
      <c r="M433" s="21" t="s">
        <v>1360</v>
      </c>
    </row>
    <row r="434" spans="1:13" x14ac:dyDescent="0.25">
      <c r="A434" s="21" t="s">
        <v>2186</v>
      </c>
      <c r="B434" s="21" t="s">
        <v>2187</v>
      </c>
      <c r="C434" s="21" t="s">
        <v>1359</v>
      </c>
      <c r="D434" s="21" t="s">
        <v>1297</v>
      </c>
      <c r="E434" s="21" t="s">
        <v>1379</v>
      </c>
      <c r="F434" s="21" t="s">
        <v>1369</v>
      </c>
      <c r="G434" s="21" t="s">
        <v>1299</v>
      </c>
      <c r="H434" s="21" t="s">
        <v>1306</v>
      </c>
      <c r="I434" s="22">
        <f>DATE(2024,2,9)</f>
        <v>45331</v>
      </c>
      <c r="J434" s="22">
        <f>DATE(2024,2,9)</f>
        <v>45331</v>
      </c>
      <c r="K434" s="22">
        <f>DATE(2024,10,11)</f>
        <v>45576</v>
      </c>
      <c r="L434" s="21" t="s">
        <v>1307</v>
      </c>
      <c r="M434" s="21" t="s">
        <v>1360</v>
      </c>
    </row>
    <row r="435" spans="1:13" x14ac:dyDescent="0.25">
      <c r="A435" s="21" t="s">
        <v>2188</v>
      </c>
      <c r="B435" s="21" t="s">
        <v>2189</v>
      </c>
      <c r="C435" s="21" t="s">
        <v>1359</v>
      </c>
      <c r="D435" s="21" t="s">
        <v>1297</v>
      </c>
      <c r="E435" s="21" t="s">
        <v>1379</v>
      </c>
      <c r="F435" s="21" t="s">
        <v>1369</v>
      </c>
      <c r="G435" s="21" t="s">
        <v>1299</v>
      </c>
      <c r="H435" s="21" t="s">
        <v>1386</v>
      </c>
      <c r="I435" s="22">
        <f>DATE(2023,9,13)</f>
        <v>45182</v>
      </c>
      <c r="J435" s="22">
        <f>DATE(2023,9,13)</f>
        <v>45182</v>
      </c>
      <c r="K435" s="22">
        <f>DATE(1900,1,1)</f>
        <v>1</v>
      </c>
      <c r="L435" s="21" t="s">
        <v>1307</v>
      </c>
      <c r="M435" s="21" t="s">
        <v>1360</v>
      </c>
    </row>
    <row r="436" spans="1:13" x14ac:dyDescent="0.25">
      <c r="A436" s="21" t="s">
        <v>2190</v>
      </c>
      <c r="B436" s="21" t="s">
        <v>2191</v>
      </c>
      <c r="C436" s="21" t="s">
        <v>1296</v>
      </c>
      <c r="D436" s="21" t="s">
        <v>1297</v>
      </c>
      <c r="E436" s="21" t="s">
        <v>1379</v>
      </c>
      <c r="F436" s="21" t="s">
        <v>1558</v>
      </c>
      <c r="G436" s="21" t="s">
        <v>1299</v>
      </c>
      <c r="H436" s="21" t="s">
        <v>1300</v>
      </c>
      <c r="I436" s="22">
        <f>DATE(2020,8,6)</f>
        <v>44049</v>
      </c>
      <c r="J436" s="22">
        <f>DATE(2020,8,6)</f>
        <v>44049</v>
      </c>
      <c r="K436" s="22">
        <f>DATE(2025,8,6)</f>
        <v>45875</v>
      </c>
      <c r="L436" s="21" t="s">
        <v>1301</v>
      </c>
      <c r="M436" s="21" t="s">
        <v>1302</v>
      </c>
    </row>
    <row r="437" spans="1:13" x14ac:dyDescent="0.25">
      <c r="A437" s="21" t="s">
        <v>2192</v>
      </c>
      <c r="B437" s="21" t="s">
        <v>2193</v>
      </c>
      <c r="C437" s="21" t="s">
        <v>1296</v>
      </c>
      <c r="D437" s="21" t="s">
        <v>1297</v>
      </c>
      <c r="E437" s="21" t="s">
        <v>1379</v>
      </c>
      <c r="F437" s="21" t="s">
        <v>1558</v>
      </c>
      <c r="G437" s="21" t="s">
        <v>1299</v>
      </c>
      <c r="H437" s="21" t="s">
        <v>1386</v>
      </c>
      <c r="I437" s="22">
        <f>DATE(2021,9,21)</f>
        <v>44460</v>
      </c>
      <c r="J437" s="22">
        <f>DATE(2021,9,21)</f>
        <v>44460</v>
      </c>
      <c r="K437" s="22">
        <f>DATE(2026,9,21)</f>
        <v>46286</v>
      </c>
      <c r="L437" s="21" t="s">
        <v>1301</v>
      </c>
      <c r="M437" s="21" t="s">
        <v>1302</v>
      </c>
    </row>
    <row r="438" spans="1:13" x14ac:dyDescent="0.25">
      <c r="A438" s="21" t="s">
        <v>2194</v>
      </c>
      <c r="B438" s="21" t="s">
        <v>2195</v>
      </c>
      <c r="C438" s="21" t="s">
        <v>1296</v>
      </c>
      <c r="D438" s="21" t="s">
        <v>1297</v>
      </c>
      <c r="E438" s="21" t="s">
        <v>1379</v>
      </c>
      <c r="F438" s="21" t="s">
        <v>1558</v>
      </c>
      <c r="G438" s="21" t="s">
        <v>1305</v>
      </c>
      <c r="H438" s="21" t="s">
        <v>1300</v>
      </c>
      <c r="I438" s="22">
        <f>DATE(2020,7,30)</f>
        <v>44042</v>
      </c>
      <c r="J438" s="22">
        <f>DATE(2020,7,30)</f>
        <v>44042</v>
      </c>
      <c r="K438" s="22">
        <f>DATE(2025,7,30)</f>
        <v>45868</v>
      </c>
      <c r="L438" s="21" t="s">
        <v>1301</v>
      </c>
      <c r="M438" s="21" t="s">
        <v>1302</v>
      </c>
    </row>
    <row r="439" spans="1:13" x14ac:dyDescent="0.25">
      <c r="A439" s="21" t="s">
        <v>2196</v>
      </c>
      <c r="B439" s="21" t="s">
        <v>2197</v>
      </c>
      <c r="C439" s="21" t="s">
        <v>1296</v>
      </c>
      <c r="D439" s="21" t="s">
        <v>1297</v>
      </c>
      <c r="E439" s="21" t="s">
        <v>1379</v>
      </c>
      <c r="F439" s="21" t="s">
        <v>1558</v>
      </c>
      <c r="G439" s="21" t="s">
        <v>1305</v>
      </c>
      <c r="H439" s="21" t="s">
        <v>1316</v>
      </c>
      <c r="I439" s="22">
        <f>DATE(2020,3,30)</f>
        <v>43920</v>
      </c>
      <c r="J439" s="22">
        <f>DATE(2020,3,30)</f>
        <v>43920</v>
      </c>
      <c r="K439" s="22">
        <f>DATE(2025,3,30)</f>
        <v>45746</v>
      </c>
      <c r="L439" s="21" t="s">
        <v>1301</v>
      </c>
      <c r="M439" s="21" t="s">
        <v>1302</v>
      </c>
    </row>
    <row r="440" spans="1:13" x14ac:dyDescent="0.25">
      <c r="A440"/>
      <c r="B440"/>
      <c r="C440"/>
      <c r="D440"/>
      <c r="E440"/>
      <c r="F440"/>
      <c r="G440"/>
      <c r="H440"/>
      <c r="I440"/>
      <c r="J440"/>
      <c r="K440"/>
      <c r="L440"/>
      <c r="M440"/>
    </row>
    <row r="441" spans="1:13" x14ac:dyDescent="0.25">
      <c r="A441"/>
      <c r="B441"/>
      <c r="C441"/>
      <c r="D441"/>
      <c r="E441"/>
      <c r="F441"/>
      <c r="G441"/>
      <c r="H441"/>
      <c r="I441"/>
      <c r="J441"/>
      <c r="K441"/>
      <c r="L441"/>
      <c r="M441"/>
    </row>
    <row r="442" spans="1:13" x14ac:dyDescent="0.25">
      <c r="A442"/>
      <c r="B442"/>
      <c r="C442"/>
      <c r="D442"/>
      <c r="E442"/>
      <c r="F442"/>
      <c r="G442"/>
      <c r="H442"/>
      <c r="I442"/>
      <c r="J442"/>
      <c r="K442"/>
      <c r="L442"/>
      <c r="M442"/>
    </row>
    <row r="443" spans="1:13" x14ac:dyDescent="0.25">
      <c r="A443"/>
      <c r="B443"/>
      <c r="C443"/>
      <c r="D443"/>
      <c r="E443"/>
      <c r="F443"/>
      <c r="G443"/>
      <c r="H443"/>
      <c r="I443"/>
      <c r="J443"/>
      <c r="K443"/>
      <c r="L443"/>
      <c r="M443"/>
    </row>
    <row r="444" spans="1:13" x14ac:dyDescent="0.25">
      <c r="A444"/>
      <c r="B444"/>
      <c r="C444"/>
      <c r="D444"/>
      <c r="E444"/>
      <c r="F444"/>
      <c r="G444"/>
      <c r="H444"/>
      <c r="I444"/>
      <c r="J444"/>
      <c r="K444"/>
      <c r="L444"/>
      <c r="M444"/>
    </row>
    <row r="445" spans="1:13" x14ac:dyDescent="0.25">
      <c r="A445"/>
      <c r="B445"/>
      <c r="C445"/>
      <c r="D445"/>
      <c r="E445"/>
      <c r="F445"/>
      <c r="G445"/>
      <c r="H445"/>
      <c r="I445"/>
      <c r="J445"/>
      <c r="K445"/>
      <c r="L445"/>
      <c r="M445"/>
    </row>
    <row r="446" spans="1:13" x14ac:dyDescent="0.25">
      <c r="A446"/>
      <c r="B446"/>
      <c r="C446"/>
      <c r="D446"/>
      <c r="E446"/>
      <c r="F446"/>
      <c r="G446"/>
      <c r="H446"/>
      <c r="I446"/>
      <c r="J446"/>
      <c r="K446"/>
      <c r="L446"/>
      <c r="M446"/>
    </row>
    <row r="447" spans="1:13" x14ac:dyDescent="0.25">
      <c r="A447"/>
      <c r="B447"/>
      <c r="C447"/>
      <c r="D447"/>
      <c r="E447"/>
      <c r="F447"/>
      <c r="G447"/>
      <c r="H447"/>
      <c r="I447"/>
      <c r="J447"/>
      <c r="K447"/>
      <c r="L447"/>
      <c r="M447"/>
    </row>
    <row r="448" spans="1:13" x14ac:dyDescent="0.25">
      <c r="A448"/>
      <c r="B448"/>
      <c r="C448"/>
      <c r="D448"/>
      <c r="E448"/>
      <c r="F448"/>
      <c r="G448"/>
      <c r="H448"/>
      <c r="I448"/>
      <c r="J448"/>
      <c r="K448"/>
      <c r="L448"/>
      <c r="M448"/>
    </row>
    <row r="449" customFormat="1" x14ac:dyDescent="0.25"/>
    <row r="450" customFormat="1" x14ac:dyDescent="0.25"/>
    <row r="451" customFormat="1" x14ac:dyDescent="0.25"/>
    <row r="452" customFormat="1" x14ac:dyDescent="0.25"/>
    <row r="453" customFormat="1" x14ac:dyDescent="0.25"/>
    <row r="454" customFormat="1" x14ac:dyDescent="0.25"/>
    <row r="455" customFormat="1" x14ac:dyDescent="0.25"/>
    <row r="456" customFormat="1" x14ac:dyDescent="0.25"/>
    <row r="457" customFormat="1" x14ac:dyDescent="0.25"/>
    <row r="458" customFormat="1" x14ac:dyDescent="0.25"/>
    <row r="459" customFormat="1" x14ac:dyDescent="0.25"/>
    <row r="460" customFormat="1" x14ac:dyDescent="0.25"/>
    <row r="461" customFormat="1" x14ac:dyDescent="0.25"/>
    <row r="462" customFormat="1" x14ac:dyDescent="0.25"/>
    <row r="463" customFormat="1" x14ac:dyDescent="0.25"/>
    <row r="464" customFormat="1" x14ac:dyDescent="0.25"/>
    <row r="465" customFormat="1" x14ac:dyDescent="0.25"/>
    <row r="466" customFormat="1" x14ac:dyDescent="0.25"/>
    <row r="467" customFormat="1" x14ac:dyDescent="0.25"/>
    <row r="468" customFormat="1" x14ac:dyDescent="0.25"/>
    <row r="469" customFormat="1" x14ac:dyDescent="0.25"/>
    <row r="470" customFormat="1" x14ac:dyDescent="0.25"/>
    <row r="471" customFormat="1" x14ac:dyDescent="0.25"/>
    <row r="472" customFormat="1" x14ac:dyDescent="0.25"/>
    <row r="473" customFormat="1" x14ac:dyDescent="0.25"/>
    <row r="474" customFormat="1" x14ac:dyDescent="0.25"/>
    <row r="475" customFormat="1" x14ac:dyDescent="0.25"/>
    <row r="476" customFormat="1" x14ac:dyDescent="0.25"/>
    <row r="477" customFormat="1" x14ac:dyDescent="0.25"/>
    <row r="478" customFormat="1" x14ac:dyDescent="0.25"/>
    <row r="479" customFormat="1" x14ac:dyDescent="0.25"/>
    <row r="480" customFormat="1" x14ac:dyDescent="0.25"/>
    <row r="481" customFormat="1" x14ac:dyDescent="0.25"/>
    <row r="482" customFormat="1" x14ac:dyDescent="0.25"/>
    <row r="483" customFormat="1" x14ac:dyDescent="0.25"/>
    <row r="484" customFormat="1" x14ac:dyDescent="0.25"/>
    <row r="485" customFormat="1" x14ac:dyDescent="0.25"/>
    <row r="486" customFormat="1" x14ac:dyDescent="0.25"/>
    <row r="487" customFormat="1" x14ac:dyDescent="0.25"/>
    <row r="488" customFormat="1" x14ac:dyDescent="0.25"/>
    <row r="489" customFormat="1" x14ac:dyDescent="0.25"/>
    <row r="490" customFormat="1" x14ac:dyDescent="0.25"/>
    <row r="491" customFormat="1" x14ac:dyDescent="0.25"/>
    <row r="492" customFormat="1" x14ac:dyDescent="0.25"/>
    <row r="493" customFormat="1" x14ac:dyDescent="0.25"/>
    <row r="494" customFormat="1" x14ac:dyDescent="0.25"/>
    <row r="495" customFormat="1" x14ac:dyDescent="0.25"/>
    <row r="496" customFormat="1" x14ac:dyDescent="0.25"/>
    <row r="497" customFormat="1" x14ac:dyDescent="0.25"/>
    <row r="498" customFormat="1" x14ac:dyDescent="0.25"/>
    <row r="499" customFormat="1" x14ac:dyDescent="0.25"/>
    <row r="500" customFormat="1" x14ac:dyDescent="0.25"/>
    <row r="501" customFormat="1" x14ac:dyDescent="0.25"/>
    <row r="502" customFormat="1" x14ac:dyDescent="0.25"/>
    <row r="503" customFormat="1" x14ac:dyDescent="0.25"/>
    <row r="504" customFormat="1" x14ac:dyDescent="0.25"/>
    <row r="505" customFormat="1" x14ac:dyDescent="0.25"/>
    <row r="506" customFormat="1" x14ac:dyDescent="0.25"/>
    <row r="507" customFormat="1" x14ac:dyDescent="0.25"/>
    <row r="508" customFormat="1" x14ac:dyDescent="0.25"/>
    <row r="509" customFormat="1" x14ac:dyDescent="0.25"/>
    <row r="510" customFormat="1" x14ac:dyDescent="0.25"/>
    <row r="511" customFormat="1" x14ac:dyDescent="0.25"/>
    <row r="512" customFormat="1" x14ac:dyDescent="0.25"/>
    <row r="513" customFormat="1" x14ac:dyDescent="0.25"/>
    <row r="514" customFormat="1" x14ac:dyDescent="0.25"/>
    <row r="515" customFormat="1" x14ac:dyDescent="0.25"/>
    <row r="516" customFormat="1" x14ac:dyDescent="0.25"/>
    <row r="517" customFormat="1" x14ac:dyDescent="0.25"/>
    <row r="518" customFormat="1" x14ac:dyDescent="0.25"/>
    <row r="519" customFormat="1" x14ac:dyDescent="0.25"/>
    <row r="520" customFormat="1" x14ac:dyDescent="0.25"/>
    <row r="521" customFormat="1" x14ac:dyDescent="0.25"/>
    <row r="522" customFormat="1" x14ac:dyDescent="0.25"/>
    <row r="523" customFormat="1" x14ac:dyDescent="0.25"/>
    <row r="524" customFormat="1" x14ac:dyDescent="0.25"/>
    <row r="525" customFormat="1" x14ac:dyDescent="0.25"/>
    <row r="526" customFormat="1" x14ac:dyDescent="0.25"/>
    <row r="527" customFormat="1" x14ac:dyDescent="0.25"/>
    <row r="528" customFormat="1" x14ac:dyDescent="0.25"/>
    <row r="529" customFormat="1" x14ac:dyDescent="0.25"/>
    <row r="530" customFormat="1" x14ac:dyDescent="0.25"/>
    <row r="531" customFormat="1" x14ac:dyDescent="0.25"/>
    <row r="532" customFormat="1" x14ac:dyDescent="0.25"/>
    <row r="533" customFormat="1" x14ac:dyDescent="0.25"/>
    <row r="534" customFormat="1" x14ac:dyDescent="0.25"/>
    <row r="535" customFormat="1" x14ac:dyDescent="0.25"/>
    <row r="536" customFormat="1" x14ac:dyDescent="0.25"/>
    <row r="537" customFormat="1" x14ac:dyDescent="0.25"/>
    <row r="538" customFormat="1" x14ac:dyDescent="0.25"/>
    <row r="539" customFormat="1" x14ac:dyDescent="0.25"/>
    <row r="540" customFormat="1" x14ac:dyDescent="0.25"/>
    <row r="541" customFormat="1" x14ac:dyDescent="0.25"/>
    <row r="542" customFormat="1" x14ac:dyDescent="0.25"/>
    <row r="543" customFormat="1" x14ac:dyDescent="0.25"/>
    <row r="544" customFormat="1" x14ac:dyDescent="0.25"/>
    <row r="545" customFormat="1" x14ac:dyDescent="0.25"/>
    <row r="546" customFormat="1" x14ac:dyDescent="0.25"/>
    <row r="547" customFormat="1" x14ac:dyDescent="0.25"/>
    <row r="548" customFormat="1" x14ac:dyDescent="0.25"/>
    <row r="549" customFormat="1" x14ac:dyDescent="0.25"/>
    <row r="550" customFormat="1" x14ac:dyDescent="0.25"/>
    <row r="551" customFormat="1" x14ac:dyDescent="0.25"/>
    <row r="552" customFormat="1" x14ac:dyDescent="0.25"/>
    <row r="553" customFormat="1" x14ac:dyDescent="0.25"/>
    <row r="554" customFormat="1" x14ac:dyDescent="0.25"/>
    <row r="555" customFormat="1" x14ac:dyDescent="0.25"/>
    <row r="556" customFormat="1" x14ac:dyDescent="0.25"/>
    <row r="557" customFormat="1" x14ac:dyDescent="0.25"/>
    <row r="558" customFormat="1" x14ac:dyDescent="0.25"/>
    <row r="559" customFormat="1" x14ac:dyDescent="0.25"/>
    <row r="560" customFormat="1" x14ac:dyDescent="0.25"/>
    <row r="561" customFormat="1" x14ac:dyDescent="0.25"/>
    <row r="562" customFormat="1" x14ac:dyDescent="0.25"/>
    <row r="563" customFormat="1" x14ac:dyDescent="0.25"/>
    <row r="564" customFormat="1" x14ac:dyDescent="0.25"/>
    <row r="565" customFormat="1" x14ac:dyDescent="0.25"/>
    <row r="566" customFormat="1" x14ac:dyDescent="0.25"/>
    <row r="567" customFormat="1" x14ac:dyDescent="0.25"/>
    <row r="568" customFormat="1" x14ac:dyDescent="0.25"/>
    <row r="569" customFormat="1" x14ac:dyDescent="0.25"/>
    <row r="570" customFormat="1" x14ac:dyDescent="0.25"/>
    <row r="571" customFormat="1" x14ac:dyDescent="0.25"/>
    <row r="572" customFormat="1" x14ac:dyDescent="0.25"/>
    <row r="573" customFormat="1" x14ac:dyDescent="0.25"/>
    <row r="574" customFormat="1" x14ac:dyDescent="0.25"/>
    <row r="575" customFormat="1" x14ac:dyDescent="0.25"/>
    <row r="576" customFormat="1" x14ac:dyDescent="0.25"/>
    <row r="577" customFormat="1" x14ac:dyDescent="0.25"/>
    <row r="578" customFormat="1" x14ac:dyDescent="0.25"/>
    <row r="579" customFormat="1" x14ac:dyDescent="0.25"/>
    <row r="580" customFormat="1" x14ac:dyDescent="0.25"/>
    <row r="581" customFormat="1" x14ac:dyDescent="0.25"/>
    <row r="582" customFormat="1" x14ac:dyDescent="0.25"/>
    <row r="583" customFormat="1" x14ac:dyDescent="0.25"/>
    <row r="584" customFormat="1" x14ac:dyDescent="0.25"/>
    <row r="585" customFormat="1" x14ac:dyDescent="0.25"/>
    <row r="586" customFormat="1" x14ac:dyDescent="0.25"/>
    <row r="587" customFormat="1" x14ac:dyDescent="0.25"/>
    <row r="588" customFormat="1" x14ac:dyDescent="0.25"/>
    <row r="589" customFormat="1" x14ac:dyDescent="0.25"/>
    <row r="590" customFormat="1" x14ac:dyDescent="0.25"/>
    <row r="591" customFormat="1" x14ac:dyDescent="0.25"/>
    <row r="592" customFormat="1" x14ac:dyDescent="0.25"/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customFormat="1" x14ac:dyDescent="0.25"/>
    <row r="994" customFormat="1" x14ac:dyDescent="0.25"/>
    <row r="995" customFormat="1" x14ac:dyDescent="0.25"/>
    <row r="996" customFormat="1" x14ac:dyDescent="0.25"/>
    <row r="997" customFormat="1" x14ac:dyDescent="0.25"/>
    <row r="998" customFormat="1" x14ac:dyDescent="0.25"/>
    <row r="999" customFormat="1" x14ac:dyDescent="0.25"/>
    <row r="1000" customFormat="1" x14ac:dyDescent="0.25"/>
    <row r="1001" customFormat="1" x14ac:dyDescent="0.25"/>
    <row r="1002" customFormat="1" x14ac:dyDescent="0.25"/>
    <row r="1003" customFormat="1" x14ac:dyDescent="0.25"/>
    <row r="1004" customFormat="1" x14ac:dyDescent="0.25"/>
    <row r="1005" customFormat="1" x14ac:dyDescent="0.25"/>
    <row r="1006" customFormat="1" x14ac:dyDescent="0.25"/>
    <row r="1007" customFormat="1" x14ac:dyDescent="0.25"/>
    <row r="1008" customFormat="1" x14ac:dyDescent="0.25"/>
    <row r="1009" customFormat="1" x14ac:dyDescent="0.25"/>
    <row r="1010" customFormat="1" x14ac:dyDescent="0.25"/>
    <row r="1011" customFormat="1" x14ac:dyDescent="0.25"/>
    <row r="1012" customFormat="1" x14ac:dyDescent="0.25"/>
    <row r="1013" customFormat="1" x14ac:dyDescent="0.25"/>
    <row r="1014" customFormat="1" x14ac:dyDescent="0.25"/>
    <row r="1015" customFormat="1" x14ac:dyDescent="0.25"/>
    <row r="1016" customFormat="1" x14ac:dyDescent="0.25"/>
    <row r="1017" customFormat="1" x14ac:dyDescent="0.25"/>
    <row r="1018" customFormat="1" x14ac:dyDescent="0.25"/>
    <row r="1019" customFormat="1" x14ac:dyDescent="0.25"/>
    <row r="1020" customFormat="1" x14ac:dyDescent="0.25"/>
    <row r="1021" customFormat="1" x14ac:dyDescent="0.25"/>
    <row r="1022" customFormat="1" x14ac:dyDescent="0.25"/>
    <row r="1023" customFormat="1" x14ac:dyDescent="0.25"/>
    <row r="1024" customFormat="1" x14ac:dyDescent="0.25"/>
    <row r="1025" customFormat="1" x14ac:dyDescent="0.25"/>
    <row r="1026" customFormat="1" x14ac:dyDescent="0.25"/>
    <row r="1027" customFormat="1" x14ac:dyDescent="0.25"/>
    <row r="1028" customFormat="1" x14ac:dyDescent="0.25"/>
    <row r="1029" customFormat="1" x14ac:dyDescent="0.25"/>
    <row r="1030" customFormat="1" x14ac:dyDescent="0.25"/>
    <row r="1031" customFormat="1" x14ac:dyDescent="0.25"/>
    <row r="1032" customFormat="1" x14ac:dyDescent="0.25"/>
    <row r="1033" customFormat="1" x14ac:dyDescent="0.25"/>
    <row r="1034" customFormat="1" x14ac:dyDescent="0.25"/>
    <row r="1035" customFormat="1" x14ac:dyDescent="0.25"/>
    <row r="1036" customFormat="1" x14ac:dyDescent="0.25"/>
    <row r="1037" customFormat="1" x14ac:dyDescent="0.25"/>
    <row r="1038" customFormat="1" x14ac:dyDescent="0.25"/>
    <row r="1039" customFormat="1" x14ac:dyDescent="0.25"/>
    <row r="1040" customFormat="1" x14ac:dyDescent="0.25"/>
    <row r="1041" customFormat="1" x14ac:dyDescent="0.25"/>
    <row r="1042" customFormat="1" x14ac:dyDescent="0.25"/>
    <row r="1043" customFormat="1" x14ac:dyDescent="0.25"/>
    <row r="1044" customFormat="1" x14ac:dyDescent="0.25"/>
    <row r="1045" customFormat="1" x14ac:dyDescent="0.25"/>
    <row r="1046" customFormat="1" x14ac:dyDescent="0.25"/>
    <row r="1047" customFormat="1" x14ac:dyDescent="0.25"/>
    <row r="1048" customFormat="1" x14ac:dyDescent="0.25"/>
    <row r="1049" customFormat="1" x14ac:dyDescent="0.25"/>
    <row r="1050" customFormat="1" x14ac:dyDescent="0.25"/>
    <row r="1051" customFormat="1" x14ac:dyDescent="0.25"/>
    <row r="1052" customFormat="1" x14ac:dyDescent="0.25"/>
    <row r="1053" customFormat="1" x14ac:dyDescent="0.25"/>
    <row r="1054" customFormat="1" x14ac:dyDescent="0.25"/>
    <row r="1055" customFormat="1" x14ac:dyDescent="0.25"/>
    <row r="1056" customFormat="1" x14ac:dyDescent="0.25"/>
    <row r="1057" customFormat="1" x14ac:dyDescent="0.25"/>
    <row r="1058" customFormat="1" x14ac:dyDescent="0.25"/>
    <row r="1059" customFormat="1" x14ac:dyDescent="0.25"/>
    <row r="1060" customFormat="1" x14ac:dyDescent="0.25"/>
    <row r="1061" customFormat="1" x14ac:dyDescent="0.25"/>
    <row r="1062" customFormat="1" x14ac:dyDescent="0.25"/>
    <row r="1063" customFormat="1" x14ac:dyDescent="0.25"/>
    <row r="1064" customFormat="1" x14ac:dyDescent="0.25"/>
    <row r="1065" customFormat="1" x14ac:dyDescent="0.25"/>
    <row r="1066" customFormat="1" x14ac:dyDescent="0.25"/>
    <row r="1067" customFormat="1" x14ac:dyDescent="0.25"/>
    <row r="1068" customFormat="1" x14ac:dyDescent="0.25"/>
    <row r="1069" customFormat="1" x14ac:dyDescent="0.25"/>
    <row r="1070" customFormat="1" x14ac:dyDescent="0.25"/>
    <row r="1071" customFormat="1" x14ac:dyDescent="0.25"/>
    <row r="1072" customFormat="1" x14ac:dyDescent="0.25"/>
    <row r="1073" customFormat="1" x14ac:dyDescent="0.25"/>
    <row r="1074" customFormat="1" x14ac:dyDescent="0.25"/>
    <row r="1075" customFormat="1" x14ac:dyDescent="0.25"/>
    <row r="1076" customFormat="1" x14ac:dyDescent="0.25"/>
    <row r="1077" customFormat="1" x14ac:dyDescent="0.25"/>
    <row r="1078" customFormat="1" x14ac:dyDescent="0.25"/>
    <row r="1079" customFormat="1" x14ac:dyDescent="0.25"/>
    <row r="1080" customFormat="1" x14ac:dyDescent="0.25"/>
    <row r="1081" customFormat="1" x14ac:dyDescent="0.25"/>
    <row r="1082" customFormat="1" x14ac:dyDescent="0.25"/>
    <row r="1083" customFormat="1" x14ac:dyDescent="0.25"/>
    <row r="1084" customFormat="1" x14ac:dyDescent="0.25"/>
    <row r="1085" customFormat="1" x14ac:dyDescent="0.25"/>
    <row r="1086" customFormat="1" x14ac:dyDescent="0.25"/>
    <row r="1087" customFormat="1" x14ac:dyDescent="0.25"/>
    <row r="1088" customFormat="1" x14ac:dyDescent="0.25"/>
    <row r="1089" customFormat="1" x14ac:dyDescent="0.25"/>
    <row r="1090" customFormat="1" x14ac:dyDescent="0.25"/>
    <row r="1091" customFormat="1" x14ac:dyDescent="0.25"/>
    <row r="1092" customFormat="1" x14ac:dyDescent="0.25"/>
    <row r="1093" customFormat="1" x14ac:dyDescent="0.25"/>
    <row r="1094" customFormat="1" x14ac:dyDescent="0.25"/>
    <row r="1095" customFormat="1" x14ac:dyDescent="0.25"/>
    <row r="1096" customFormat="1" x14ac:dyDescent="0.25"/>
    <row r="1097" customFormat="1" x14ac:dyDescent="0.25"/>
    <row r="1098" customFormat="1" x14ac:dyDescent="0.25"/>
    <row r="1099" customFormat="1" x14ac:dyDescent="0.25"/>
    <row r="1100" customFormat="1" x14ac:dyDescent="0.25"/>
    <row r="1101" customFormat="1" x14ac:dyDescent="0.25"/>
    <row r="1102" customFormat="1" x14ac:dyDescent="0.25"/>
    <row r="1103" customFormat="1" x14ac:dyDescent="0.25"/>
    <row r="1104" customFormat="1" x14ac:dyDescent="0.25"/>
    <row r="1105" customFormat="1" x14ac:dyDescent="0.25"/>
    <row r="1106" customFormat="1" x14ac:dyDescent="0.25"/>
    <row r="1107" customFormat="1" x14ac:dyDescent="0.25"/>
    <row r="1108" customFormat="1" x14ac:dyDescent="0.25"/>
    <row r="1109" customFormat="1" x14ac:dyDescent="0.25"/>
    <row r="1110" customFormat="1" x14ac:dyDescent="0.25"/>
    <row r="1111" customFormat="1" x14ac:dyDescent="0.25"/>
    <row r="1112" customFormat="1" x14ac:dyDescent="0.25"/>
    <row r="1113" customFormat="1" x14ac:dyDescent="0.25"/>
    <row r="1114" customFormat="1" x14ac:dyDescent="0.25"/>
    <row r="1115" customFormat="1" x14ac:dyDescent="0.25"/>
    <row r="1116" customFormat="1" x14ac:dyDescent="0.25"/>
    <row r="1117" customFormat="1" x14ac:dyDescent="0.25"/>
    <row r="1118" customFormat="1" x14ac:dyDescent="0.25"/>
    <row r="1119" customFormat="1" x14ac:dyDescent="0.25"/>
    <row r="1120" customFormat="1" x14ac:dyDescent="0.25"/>
    <row r="1121" customFormat="1" x14ac:dyDescent="0.25"/>
    <row r="1122" customFormat="1" x14ac:dyDescent="0.25"/>
    <row r="1123" customFormat="1" x14ac:dyDescent="0.25"/>
    <row r="1124" customFormat="1" x14ac:dyDescent="0.25"/>
    <row r="1125" customFormat="1" x14ac:dyDescent="0.25"/>
    <row r="1126" customFormat="1" x14ac:dyDescent="0.25"/>
    <row r="1127" customFormat="1" x14ac:dyDescent="0.25"/>
    <row r="1128" customFormat="1" x14ac:dyDescent="0.25"/>
    <row r="1129" customFormat="1" x14ac:dyDescent="0.25"/>
    <row r="1130" customFormat="1" x14ac:dyDescent="0.25"/>
    <row r="1131" customFormat="1" x14ac:dyDescent="0.25"/>
    <row r="1132" customFormat="1" x14ac:dyDescent="0.25"/>
    <row r="1133" customFormat="1" x14ac:dyDescent="0.25"/>
    <row r="1134" customFormat="1" x14ac:dyDescent="0.25"/>
    <row r="1135" customFormat="1" x14ac:dyDescent="0.25"/>
    <row r="1136" customFormat="1" x14ac:dyDescent="0.25"/>
    <row r="1137" customFormat="1" x14ac:dyDescent="0.25"/>
    <row r="1138" customFormat="1" x14ac:dyDescent="0.25"/>
    <row r="1139" customFormat="1" x14ac:dyDescent="0.25"/>
    <row r="1140" customFormat="1" x14ac:dyDescent="0.25"/>
    <row r="1141" customFormat="1" x14ac:dyDescent="0.25"/>
    <row r="1142" customFormat="1" x14ac:dyDescent="0.25"/>
    <row r="1143" customFormat="1" x14ac:dyDescent="0.25"/>
    <row r="1144" customFormat="1" x14ac:dyDescent="0.25"/>
    <row r="1145" customFormat="1" x14ac:dyDescent="0.25"/>
    <row r="1146" customFormat="1" x14ac:dyDescent="0.25"/>
    <row r="1147" customFormat="1" x14ac:dyDescent="0.25"/>
    <row r="1148" customFormat="1" x14ac:dyDescent="0.25"/>
    <row r="1149" customFormat="1" x14ac:dyDescent="0.25"/>
    <row r="1150" customFormat="1" x14ac:dyDescent="0.25"/>
    <row r="1151" customFormat="1" x14ac:dyDescent="0.25"/>
    <row r="1152" customFormat="1" x14ac:dyDescent="0.25"/>
    <row r="1153" customFormat="1" x14ac:dyDescent="0.25"/>
    <row r="1154" customFormat="1" x14ac:dyDescent="0.25"/>
    <row r="1155" customFormat="1" x14ac:dyDescent="0.25"/>
    <row r="1156" customFormat="1" x14ac:dyDescent="0.25"/>
    <row r="1157" customFormat="1" x14ac:dyDescent="0.25"/>
    <row r="1158" customFormat="1" x14ac:dyDescent="0.25"/>
    <row r="1159" customFormat="1" x14ac:dyDescent="0.25"/>
    <row r="1160" customFormat="1" x14ac:dyDescent="0.25"/>
    <row r="1161" customFormat="1" x14ac:dyDescent="0.25"/>
    <row r="1162" customFormat="1" x14ac:dyDescent="0.25"/>
    <row r="1163" customFormat="1" x14ac:dyDescent="0.25"/>
    <row r="1164" customFormat="1" x14ac:dyDescent="0.25"/>
    <row r="1165" customFormat="1" x14ac:dyDescent="0.25"/>
    <row r="1166" customFormat="1" x14ac:dyDescent="0.25"/>
    <row r="1167" customFormat="1" x14ac:dyDescent="0.25"/>
    <row r="1168" customFormat="1" x14ac:dyDescent="0.25"/>
    <row r="1169" customFormat="1" x14ac:dyDescent="0.25"/>
    <row r="1170" customFormat="1" x14ac:dyDescent="0.25"/>
    <row r="1171" customFormat="1" x14ac:dyDescent="0.25"/>
    <row r="1172" customFormat="1" x14ac:dyDescent="0.25"/>
    <row r="1173" customFormat="1" x14ac:dyDescent="0.25"/>
    <row r="1174" customFormat="1" x14ac:dyDescent="0.25"/>
    <row r="1175" customFormat="1" x14ac:dyDescent="0.25"/>
    <row r="1176" customFormat="1" x14ac:dyDescent="0.25"/>
    <row r="1177" customFormat="1" x14ac:dyDescent="0.25"/>
    <row r="1178" customFormat="1" x14ac:dyDescent="0.25"/>
    <row r="1179" customFormat="1" x14ac:dyDescent="0.25"/>
    <row r="1180" customFormat="1" x14ac:dyDescent="0.25"/>
    <row r="1181" customFormat="1" x14ac:dyDescent="0.25"/>
    <row r="1182" customFormat="1" x14ac:dyDescent="0.25"/>
    <row r="1183" customFormat="1" x14ac:dyDescent="0.25"/>
    <row r="1184" customFormat="1" x14ac:dyDescent="0.25"/>
    <row r="1185" customFormat="1" x14ac:dyDescent="0.25"/>
    <row r="1186" customFormat="1" x14ac:dyDescent="0.25"/>
    <row r="1187" customFormat="1" x14ac:dyDescent="0.25"/>
    <row r="1188" customFormat="1" x14ac:dyDescent="0.25"/>
    <row r="1189" customFormat="1" x14ac:dyDescent="0.25"/>
    <row r="1190" customFormat="1" x14ac:dyDescent="0.25"/>
    <row r="1191" customFormat="1" x14ac:dyDescent="0.25"/>
    <row r="1192" customFormat="1" x14ac:dyDescent="0.25"/>
    <row r="1193" customFormat="1" x14ac:dyDescent="0.25"/>
    <row r="1194" customFormat="1" x14ac:dyDescent="0.25"/>
    <row r="1195" customFormat="1" x14ac:dyDescent="0.25"/>
    <row r="1196" customFormat="1" x14ac:dyDescent="0.25"/>
    <row r="1197" customFormat="1" x14ac:dyDescent="0.25"/>
    <row r="1198" customFormat="1" x14ac:dyDescent="0.25"/>
    <row r="1199" customFormat="1" x14ac:dyDescent="0.25"/>
    <row r="1200" customFormat="1" x14ac:dyDescent="0.25"/>
    <row r="1201" customFormat="1" x14ac:dyDescent="0.25"/>
    <row r="1202" customFormat="1" x14ac:dyDescent="0.25"/>
    <row r="1203" customFormat="1" x14ac:dyDescent="0.25"/>
    <row r="1204" customFormat="1" x14ac:dyDescent="0.25"/>
    <row r="1205" customFormat="1" x14ac:dyDescent="0.25"/>
    <row r="1206" customFormat="1" x14ac:dyDescent="0.25"/>
    <row r="1207" customFormat="1" x14ac:dyDescent="0.25"/>
    <row r="1208" customFormat="1" x14ac:dyDescent="0.25"/>
    <row r="1209" customFormat="1" x14ac:dyDescent="0.25"/>
    <row r="1210" customFormat="1" x14ac:dyDescent="0.25"/>
    <row r="1211" customFormat="1" x14ac:dyDescent="0.25"/>
    <row r="1212" customFormat="1" x14ac:dyDescent="0.25"/>
    <row r="1213" customFormat="1" x14ac:dyDescent="0.25"/>
    <row r="1214" customFormat="1" x14ac:dyDescent="0.25"/>
    <row r="1215" customFormat="1" x14ac:dyDescent="0.25"/>
    <row r="1216" customFormat="1" x14ac:dyDescent="0.25"/>
    <row r="1217" customFormat="1" x14ac:dyDescent="0.25"/>
    <row r="1218" customFormat="1" x14ac:dyDescent="0.25"/>
    <row r="1219" customFormat="1" x14ac:dyDescent="0.25"/>
    <row r="1220" customFormat="1" x14ac:dyDescent="0.25"/>
    <row r="1221" customFormat="1" x14ac:dyDescent="0.25"/>
    <row r="1222" customFormat="1" x14ac:dyDescent="0.25"/>
    <row r="1223" customFormat="1" x14ac:dyDescent="0.25"/>
    <row r="1224" customFormat="1" x14ac:dyDescent="0.25"/>
    <row r="1225" customFormat="1" x14ac:dyDescent="0.25"/>
    <row r="1226" customFormat="1" x14ac:dyDescent="0.25"/>
    <row r="1227" customFormat="1" x14ac:dyDescent="0.25"/>
    <row r="1228" customFormat="1" x14ac:dyDescent="0.25"/>
    <row r="1229" customFormat="1" x14ac:dyDescent="0.25"/>
    <row r="1230" customFormat="1" x14ac:dyDescent="0.25"/>
    <row r="1231" customFormat="1" x14ac:dyDescent="0.25"/>
    <row r="1232" customFormat="1" x14ac:dyDescent="0.25"/>
    <row r="1233" customFormat="1" x14ac:dyDescent="0.25"/>
    <row r="1234" customFormat="1" x14ac:dyDescent="0.25"/>
    <row r="1235" customFormat="1" x14ac:dyDescent="0.25"/>
    <row r="1236" customFormat="1" x14ac:dyDescent="0.25"/>
    <row r="1237" customFormat="1" x14ac:dyDescent="0.25"/>
    <row r="1238" customFormat="1" x14ac:dyDescent="0.25"/>
    <row r="1239" customFormat="1" x14ac:dyDescent="0.25"/>
    <row r="1240" customFormat="1" x14ac:dyDescent="0.25"/>
    <row r="1241" customFormat="1" x14ac:dyDescent="0.25"/>
    <row r="1242" customFormat="1" x14ac:dyDescent="0.25"/>
    <row r="1243" customFormat="1" x14ac:dyDescent="0.25"/>
    <row r="1244" customFormat="1" x14ac:dyDescent="0.25"/>
    <row r="1245" customFormat="1" x14ac:dyDescent="0.25"/>
    <row r="1246" customFormat="1" x14ac:dyDescent="0.25"/>
    <row r="1247" customFormat="1" x14ac:dyDescent="0.25"/>
    <row r="1248" customFormat="1" x14ac:dyDescent="0.25"/>
    <row r="1249" customFormat="1" x14ac:dyDescent="0.25"/>
    <row r="1250" customFormat="1" x14ac:dyDescent="0.25"/>
    <row r="1251" customFormat="1" x14ac:dyDescent="0.25"/>
    <row r="1252" customFormat="1" x14ac:dyDescent="0.25"/>
    <row r="1253" customFormat="1" x14ac:dyDescent="0.25"/>
    <row r="1254" customFormat="1" x14ac:dyDescent="0.25"/>
    <row r="1255" customFormat="1" x14ac:dyDescent="0.25"/>
    <row r="1256" customFormat="1" x14ac:dyDescent="0.25"/>
    <row r="1257" customFormat="1" x14ac:dyDescent="0.25"/>
    <row r="1258" customFormat="1" x14ac:dyDescent="0.25"/>
    <row r="1259" customFormat="1" x14ac:dyDescent="0.25"/>
    <row r="1260" customFormat="1" x14ac:dyDescent="0.25"/>
    <row r="1261" customFormat="1" x14ac:dyDescent="0.25"/>
    <row r="1262" customFormat="1" x14ac:dyDescent="0.25"/>
    <row r="1263" customFormat="1" x14ac:dyDescent="0.25"/>
    <row r="1264" customFormat="1" x14ac:dyDescent="0.25"/>
    <row r="1265" customFormat="1" x14ac:dyDescent="0.25"/>
    <row r="1266" customFormat="1" x14ac:dyDescent="0.25"/>
    <row r="1267" customFormat="1" x14ac:dyDescent="0.25"/>
    <row r="1268" customFormat="1" x14ac:dyDescent="0.25"/>
    <row r="1269" customFormat="1" x14ac:dyDescent="0.25"/>
    <row r="1270" customFormat="1" x14ac:dyDescent="0.25"/>
    <row r="1271" customFormat="1" x14ac:dyDescent="0.25"/>
    <row r="1272" customFormat="1" x14ac:dyDescent="0.25"/>
    <row r="1273" customFormat="1" x14ac:dyDescent="0.25"/>
    <row r="1274" customFormat="1" x14ac:dyDescent="0.25"/>
    <row r="1275" customFormat="1" x14ac:dyDescent="0.25"/>
    <row r="1276" customFormat="1" x14ac:dyDescent="0.25"/>
    <row r="1277" customFormat="1" x14ac:dyDescent="0.25"/>
    <row r="1278" customFormat="1" x14ac:dyDescent="0.25"/>
    <row r="1279" customFormat="1" x14ac:dyDescent="0.25"/>
    <row r="1280" customFormat="1" x14ac:dyDescent="0.25"/>
    <row r="1281" customFormat="1" x14ac:dyDescent="0.25"/>
    <row r="1282" customFormat="1" x14ac:dyDescent="0.25"/>
    <row r="1283" customFormat="1" x14ac:dyDescent="0.25"/>
    <row r="1284" customFormat="1" x14ac:dyDescent="0.25"/>
    <row r="1285" customFormat="1" x14ac:dyDescent="0.25"/>
    <row r="1286" customFormat="1" x14ac:dyDescent="0.25"/>
    <row r="1287" customFormat="1" x14ac:dyDescent="0.25"/>
    <row r="1288" customFormat="1" x14ac:dyDescent="0.25"/>
    <row r="1289" customFormat="1" x14ac:dyDescent="0.25"/>
    <row r="1290" customFormat="1" x14ac:dyDescent="0.25"/>
    <row r="1291" customFormat="1" x14ac:dyDescent="0.25"/>
    <row r="1292" customFormat="1" x14ac:dyDescent="0.25"/>
    <row r="1293" customFormat="1" x14ac:dyDescent="0.25"/>
    <row r="1294" customFormat="1" x14ac:dyDescent="0.25"/>
    <row r="1295" customFormat="1" x14ac:dyDescent="0.25"/>
    <row r="1296" customFormat="1" x14ac:dyDescent="0.25"/>
    <row r="1297" customFormat="1" x14ac:dyDescent="0.25"/>
    <row r="1298" customFormat="1" x14ac:dyDescent="0.25"/>
    <row r="1299" customFormat="1" x14ac:dyDescent="0.25"/>
    <row r="1300" customFormat="1" x14ac:dyDescent="0.25"/>
    <row r="1301" customFormat="1" x14ac:dyDescent="0.25"/>
    <row r="1302" customFormat="1" x14ac:dyDescent="0.25"/>
    <row r="1303" customFormat="1" x14ac:dyDescent="0.25"/>
    <row r="1304" customFormat="1" x14ac:dyDescent="0.25"/>
    <row r="1305" customFormat="1" x14ac:dyDescent="0.25"/>
    <row r="1306" customFormat="1" x14ac:dyDescent="0.25"/>
    <row r="1307" customFormat="1" x14ac:dyDescent="0.25"/>
    <row r="1308" customFormat="1" x14ac:dyDescent="0.25"/>
    <row r="1309" customFormat="1" x14ac:dyDescent="0.25"/>
    <row r="1310" customFormat="1" x14ac:dyDescent="0.25"/>
    <row r="1311" customFormat="1" x14ac:dyDescent="0.25"/>
    <row r="1312" customFormat="1" x14ac:dyDescent="0.25"/>
    <row r="1313" customFormat="1" x14ac:dyDescent="0.25"/>
    <row r="1314" customFormat="1" x14ac:dyDescent="0.25"/>
    <row r="1315" customFormat="1" x14ac:dyDescent="0.25"/>
    <row r="1316" customFormat="1" x14ac:dyDescent="0.25"/>
    <row r="1317" customFormat="1" x14ac:dyDescent="0.25"/>
    <row r="1318" customFormat="1" x14ac:dyDescent="0.25"/>
    <row r="1319" customFormat="1" x14ac:dyDescent="0.25"/>
    <row r="1320" customFormat="1" x14ac:dyDescent="0.25"/>
    <row r="1321" customFormat="1" x14ac:dyDescent="0.25"/>
    <row r="1322" customFormat="1" x14ac:dyDescent="0.25"/>
    <row r="1323" customFormat="1" x14ac:dyDescent="0.25"/>
    <row r="1324" customFormat="1" x14ac:dyDescent="0.25"/>
    <row r="1325" customFormat="1" x14ac:dyDescent="0.25"/>
    <row r="1326" customFormat="1" x14ac:dyDescent="0.25"/>
    <row r="1327" customFormat="1" x14ac:dyDescent="0.25"/>
    <row r="1328" customFormat="1" x14ac:dyDescent="0.25"/>
    <row r="1329" customFormat="1" x14ac:dyDescent="0.25"/>
    <row r="1330" customFormat="1" x14ac:dyDescent="0.25"/>
    <row r="1331" customFormat="1" x14ac:dyDescent="0.25"/>
    <row r="1332" customFormat="1" x14ac:dyDescent="0.25"/>
    <row r="1333" customFormat="1" x14ac:dyDescent="0.25"/>
    <row r="1334" customFormat="1" x14ac:dyDescent="0.25"/>
    <row r="1335" customFormat="1" x14ac:dyDescent="0.25"/>
    <row r="1336" customFormat="1" x14ac:dyDescent="0.25"/>
    <row r="1337" customFormat="1" x14ac:dyDescent="0.25"/>
    <row r="1338" customFormat="1" x14ac:dyDescent="0.25"/>
    <row r="1339" customFormat="1" x14ac:dyDescent="0.25"/>
    <row r="1340" customFormat="1" x14ac:dyDescent="0.25"/>
    <row r="1341" customFormat="1" x14ac:dyDescent="0.25"/>
    <row r="1342" customFormat="1" x14ac:dyDescent="0.25"/>
    <row r="1343" customFormat="1" x14ac:dyDescent="0.25"/>
    <row r="1344" customFormat="1" x14ac:dyDescent="0.25"/>
    <row r="1345" customFormat="1" x14ac:dyDescent="0.25"/>
    <row r="1346" customFormat="1" x14ac:dyDescent="0.25"/>
    <row r="1347" customFormat="1" x14ac:dyDescent="0.25"/>
    <row r="1348" customFormat="1" x14ac:dyDescent="0.25"/>
    <row r="1349" customFormat="1" x14ac:dyDescent="0.25"/>
    <row r="1350" customFormat="1" x14ac:dyDescent="0.25"/>
    <row r="1351" customFormat="1" x14ac:dyDescent="0.25"/>
    <row r="1352" customFormat="1" x14ac:dyDescent="0.25"/>
    <row r="1353" customFormat="1" x14ac:dyDescent="0.25"/>
    <row r="1354" customFormat="1" x14ac:dyDescent="0.25"/>
    <row r="1355" customFormat="1" x14ac:dyDescent="0.25"/>
    <row r="1356" customFormat="1" x14ac:dyDescent="0.25"/>
    <row r="1357" customFormat="1" x14ac:dyDescent="0.25"/>
    <row r="1358" customFormat="1" x14ac:dyDescent="0.25"/>
    <row r="1359" customFormat="1" x14ac:dyDescent="0.25"/>
    <row r="1360" customFormat="1" x14ac:dyDescent="0.25"/>
    <row r="1361" customFormat="1" x14ac:dyDescent="0.25"/>
    <row r="1362" customFormat="1" x14ac:dyDescent="0.25"/>
    <row r="1363" customFormat="1" x14ac:dyDescent="0.25"/>
    <row r="1364" customFormat="1" x14ac:dyDescent="0.25"/>
    <row r="1365" customFormat="1" x14ac:dyDescent="0.25"/>
    <row r="1366" customFormat="1" x14ac:dyDescent="0.25"/>
    <row r="1367" customFormat="1" x14ac:dyDescent="0.25"/>
    <row r="1368" customFormat="1" x14ac:dyDescent="0.25"/>
    <row r="1369" customFormat="1" x14ac:dyDescent="0.25"/>
    <row r="1370" customFormat="1" x14ac:dyDescent="0.25"/>
    <row r="1371" customFormat="1" x14ac:dyDescent="0.25"/>
    <row r="1372" customFormat="1" x14ac:dyDescent="0.25"/>
    <row r="1373" customFormat="1" x14ac:dyDescent="0.25"/>
    <row r="1374" customFormat="1" x14ac:dyDescent="0.25"/>
    <row r="1375" customFormat="1" x14ac:dyDescent="0.25"/>
    <row r="1376" customFormat="1" x14ac:dyDescent="0.25"/>
    <row r="1377" customFormat="1" x14ac:dyDescent="0.25"/>
    <row r="1378" customFormat="1" x14ac:dyDescent="0.25"/>
    <row r="1379" customFormat="1" x14ac:dyDescent="0.25"/>
    <row r="1380" customFormat="1" x14ac:dyDescent="0.25"/>
    <row r="1381" customFormat="1" x14ac:dyDescent="0.25"/>
    <row r="1382" customFormat="1" x14ac:dyDescent="0.25"/>
    <row r="1383" customFormat="1" x14ac:dyDescent="0.25"/>
    <row r="1384" customFormat="1" x14ac:dyDescent="0.25"/>
    <row r="1385" customFormat="1" x14ac:dyDescent="0.25"/>
    <row r="1386" customFormat="1" x14ac:dyDescent="0.25"/>
    <row r="1387" customFormat="1" x14ac:dyDescent="0.25"/>
    <row r="1388" customFormat="1" x14ac:dyDescent="0.25"/>
    <row r="1389" customFormat="1" x14ac:dyDescent="0.25"/>
    <row r="1390" customFormat="1" x14ac:dyDescent="0.25"/>
    <row r="1391" customFormat="1" x14ac:dyDescent="0.25"/>
    <row r="1392" customFormat="1" x14ac:dyDescent="0.25"/>
    <row r="1393" customFormat="1" x14ac:dyDescent="0.25"/>
    <row r="1394" customFormat="1" x14ac:dyDescent="0.25"/>
    <row r="1395" customFormat="1" x14ac:dyDescent="0.25"/>
    <row r="1396" customFormat="1" x14ac:dyDescent="0.25"/>
    <row r="1397" customFormat="1" x14ac:dyDescent="0.25"/>
    <row r="1398" customFormat="1" x14ac:dyDescent="0.25"/>
    <row r="1399" customFormat="1" x14ac:dyDescent="0.25"/>
    <row r="1400" customFormat="1" x14ac:dyDescent="0.25"/>
    <row r="1401" customFormat="1" x14ac:dyDescent="0.25"/>
    <row r="1402" customFormat="1" x14ac:dyDescent="0.25"/>
    <row r="1403" customFormat="1" x14ac:dyDescent="0.25"/>
    <row r="1404" customFormat="1" x14ac:dyDescent="0.25"/>
    <row r="1405" customFormat="1" x14ac:dyDescent="0.25"/>
    <row r="1406" customFormat="1" x14ac:dyDescent="0.25"/>
    <row r="1407" customFormat="1" x14ac:dyDescent="0.25"/>
    <row r="1408" customFormat="1" x14ac:dyDescent="0.25"/>
    <row r="1409" customFormat="1" x14ac:dyDescent="0.25"/>
    <row r="1410" customFormat="1" x14ac:dyDescent="0.25"/>
    <row r="1411" customFormat="1" x14ac:dyDescent="0.25"/>
    <row r="1412" customFormat="1" x14ac:dyDescent="0.25"/>
    <row r="1413" customFormat="1" x14ac:dyDescent="0.25"/>
    <row r="1414" customFormat="1" x14ac:dyDescent="0.25"/>
    <row r="1415" customFormat="1" x14ac:dyDescent="0.25"/>
    <row r="1416" customFormat="1" x14ac:dyDescent="0.25"/>
    <row r="1417" customFormat="1" x14ac:dyDescent="0.25"/>
    <row r="1418" customFormat="1" x14ac:dyDescent="0.25"/>
    <row r="1419" customFormat="1" x14ac:dyDescent="0.25"/>
    <row r="1420" customFormat="1" x14ac:dyDescent="0.25"/>
    <row r="1421" customFormat="1" x14ac:dyDescent="0.25"/>
    <row r="1422" customFormat="1" x14ac:dyDescent="0.25"/>
    <row r="1423" customFormat="1" x14ac:dyDescent="0.25"/>
    <row r="1424" customFormat="1" x14ac:dyDescent="0.25"/>
    <row r="1425" customFormat="1" x14ac:dyDescent="0.25"/>
    <row r="1426" customFormat="1" x14ac:dyDescent="0.25"/>
    <row r="1427" customFormat="1" x14ac:dyDescent="0.25"/>
    <row r="1428" customFormat="1" x14ac:dyDescent="0.25"/>
    <row r="1429" customFormat="1" x14ac:dyDescent="0.25"/>
    <row r="1430" customFormat="1" x14ac:dyDescent="0.25"/>
    <row r="1431" customFormat="1" x14ac:dyDescent="0.25"/>
    <row r="1432" customFormat="1" x14ac:dyDescent="0.25"/>
    <row r="1433" customFormat="1" x14ac:dyDescent="0.25"/>
    <row r="1434" customFormat="1" x14ac:dyDescent="0.25"/>
    <row r="1435" customFormat="1" x14ac:dyDescent="0.25"/>
    <row r="1436" customFormat="1" x14ac:dyDescent="0.25"/>
    <row r="1437" customFormat="1" x14ac:dyDescent="0.25"/>
    <row r="1438" customFormat="1" x14ac:dyDescent="0.25"/>
    <row r="1439" customFormat="1" x14ac:dyDescent="0.25"/>
    <row r="1440" customFormat="1" x14ac:dyDescent="0.25"/>
    <row r="1441" customFormat="1" x14ac:dyDescent="0.25"/>
    <row r="1442" customFormat="1" x14ac:dyDescent="0.25"/>
    <row r="1443" customFormat="1" x14ac:dyDescent="0.25"/>
    <row r="1444" customFormat="1" x14ac:dyDescent="0.25"/>
    <row r="1445" customFormat="1" x14ac:dyDescent="0.25"/>
    <row r="1446" customFormat="1" x14ac:dyDescent="0.25"/>
    <row r="1447" customFormat="1" x14ac:dyDescent="0.25"/>
    <row r="1448" customFormat="1" x14ac:dyDescent="0.25"/>
    <row r="1449" customFormat="1" x14ac:dyDescent="0.25"/>
    <row r="1450" customFormat="1" x14ac:dyDescent="0.25"/>
    <row r="1451" customFormat="1" x14ac:dyDescent="0.25"/>
    <row r="1452" customFormat="1" x14ac:dyDescent="0.25"/>
    <row r="1453" customFormat="1" x14ac:dyDescent="0.25"/>
    <row r="1454" customFormat="1" x14ac:dyDescent="0.25"/>
    <row r="1455" customFormat="1" x14ac:dyDescent="0.25"/>
    <row r="1456" customFormat="1" x14ac:dyDescent="0.25"/>
    <row r="1457" customFormat="1" x14ac:dyDescent="0.25"/>
    <row r="1458" customFormat="1" x14ac:dyDescent="0.25"/>
    <row r="1459" customFormat="1" x14ac:dyDescent="0.25"/>
    <row r="1460" customFormat="1" x14ac:dyDescent="0.25"/>
    <row r="1461" customFormat="1" x14ac:dyDescent="0.25"/>
    <row r="1462" customFormat="1" x14ac:dyDescent="0.25"/>
    <row r="1463" customFormat="1" x14ac:dyDescent="0.25"/>
    <row r="1464" customFormat="1" x14ac:dyDescent="0.25"/>
    <row r="1465" customFormat="1" x14ac:dyDescent="0.25"/>
    <row r="1466" customFormat="1" x14ac:dyDescent="0.25"/>
    <row r="1467" customFormat="1" x14ac:dyDescent="0.25"/>
    <row r="1468" customFormat="1" x14ac:dyDescent="0.25"/>
    <row r="1469" customFormat="1" x14ac:dyDescent="0.25"/>
    <row r="1470" customFormat="1" x14ac:dyDescent="0.25"/>
    <row r="1471" customFormat="1" x14ac:dyDescent="0.25"/>
    <row r="1472" customFormat="1" x14ac:dyDescent="0.25"/>
    <row r="1473" customFormat="1" x14ac:dyDescent="0.25"/>
    <row r="1474" customFormat="1" x14ac:dyDescent="0.25"/>
    <row r="1475" customFormat="1" x14ac:dyDescent="0.25"/>
    <row r="1476" customFormat="1" x14ac:dyDescent="0.25"/>
    <row r="1477" customFormat="1" x14ac:dyDescent="0.25"/>
    <row r="1478" customFormat="1" x14ac:dyDescent="0.25"/>
    <row r="1479" customFormat="1" x14ac:dyDescent="0.25"/>
    <row r="1480" customFormat="1" x14ac:dyDescent="0.25"/>
    <row r="1481" customFormat="1" x14ac:dyDescent="0.25"/>
    <row r="1482" customFormat="1" x14ac:dyDescent="0.25"/>
    <row r="1483" customFormat="1" x14ac:dyDescent="0.25"/>
    <row r="1484" customFormat="1" x14ac:dyDescent="0.25"/>
    <row r="1485" customFormat="1" x14ac:dyDescent="0.25"/>
    <row r="1486" customFormat="1" x14ac:dyDescent="0.25"/>
    <row r="1487" customFormat="1" x14ac:dyDescent="0.25"/>
    <row r="1488" customFormat="1" x14ac:dyDescent="0.25"/>
    <row r="1489" customFormat="1" x14ac:dyDescent="0.25"/>
    <row r="1490" customFormat="1" x14ac:dyDescent="0.25"/>
    <row r="1491" customFormat="1" x14ac:dyDescent="0.25"/>
    <row r="1492" customFormat="1" x14ac:dyDescent="0.25"/>
    <row r="1493" customFormat="1" x14ac:dyDescent="0.25"/>
    <row r="1494" customFormat="1" x14ac:dyDescent="0.25"/>
    <row r="1495" customFormat="1" x14ac:dyDescent="0.25"/>
    <row r="1496" customFormat="1" x14ac:dyDescent="0.25"/>
    <row r="1497" customFormat="1" x14ac:dyDescent="0.25"/>
    <row r="1498" customFormat="1" x14ac:dyDescent="0.25"/>
    <row r="1499" customFormat="1" x14ac:dyDescent="0.25"/>
    <row r="1500" customFormat="1" x14ac:dyDescent="0.25"/>
    <row r="1501" customFormat="1" x14ac:dyDescent="0.25"/>
    <row r="1502" customFormat="1" x14ac:dyDescent="0.25"/>
    <row r="1503" customFormat="1" x14ac:dyDescent="0.25"/>
    <row r="1504" customFormat="1" x14ac:dyDescent="0.25"/>
    <row r="1505" customFormat="1" x14ac:dyDescent="0.25"/>
    <row r="1506" customFormat="1" x14ac:dyDescent="0.25"/>
    <row r="1507" customFormat="1" x14ac:dyDescent="0.25"/>
    <row r="1508" customFormat="1" x14ac:dyDescent="0.25"/>
    <row r="1509" customFormat="1" x14ac:dyDescent="0.25"/>
    <row r="1510" customFormat="1" x14ac:dyDescent="0.25"/>
    <row r="1511" customFormat="1" x14ac:dyDescent="0.25"/>
    <row r="1512" customFormat="1" x14ac:dyDescent="0.25"/>
    <row r="1513" customFormat="1" x14ac:dyDescent="0.25"/>
    <row r="1514" customFormat="1" x14ac:dyDescent="0.25"/>
    <row r="1515" customFormat="1" x14ac:dyDescent="0.25"/>
    <row r="1516" customFormat="1" x14ac:dyDescent="0.25"/>
    <row r="1517" customFormat="1" x14ac:dyDescent="0.25"/>
    <row r="1518" customFormat="1" x14ac:dyDescent="0.25"/>
    <row r="1519" customFormat="1" x14ac:dyDescent="0.25"/>
    <row r="1520" customFormat="1" x14ac:dyDescent="0.25"/>
    <row r="1521" customFormat="1" x14ac:dyDescent="0.25"/>
    <row r="1522" customFormat="1" x14ac:dyDescent="0.25"/>
    <row r="1523" customFormat="1" x14ac:dyDescent="0.25"/>
    <row r="1524" customFormat="1" x14ac:dyDescent="0.25"/>
    <row r="1525" customFormat="1" x14ac:dyDescent="0.25"/>
    <row r="1526" customFormat="1" x14ac:dyDescent="0.25"/>
    <row r="1527" customFormat="1" x14ac:dyDescent="0.25"/>
    <row r="1528" customFormat="1" x14ac:dyDescent="0.25"/>
    <row r="1529" customFormat="1" x14ac:dyDescent="0.25"/>
    <row r="1530" customFormat="1" x14ac:dyDescent="0.25"/>
    <row r="1531" customFormat="1" x14ac:dyDescent="0.25"/>
    <row r="1532" customFormat="1" x14ac:dyDescent="0.25"/>
    <row r="1533" customFormat="1" x14ac:dyDescent="0.25"/>
    <row r="1534" customFormat="1" x14ac:dyDescent="0.25"/>
    <row r="1535" customFormat="1" x14ac:dyDescent="0.25"/>
    <row r="1536" customFormat="1" x14ac:dyDescent="0.25"/>
    <row r="1537" customFormat="1" x14ac:dyDescent="0.25"/>
    <row r="1538" customFormat="1" x14ac:dyDescent="0.25"/>
    <row r="1539" customFormat="1" x14ac:dyDescent="0.25"/>
    <row r="1540" customFormat="1" x14ac:dyDescent="0.25"/>
    <row r="1541" customFormat="1" x14ac:dyDescent="0.25"/>
    <row r="1542" customFormat="1" x14ac:dyDescent="0.25"/>
    <row r="1543" customFormat="1" x14ac:dyDescent="0.25"/>
    <row r="1544" customFormat="1" x14ac:dyDescent="0.25"/>
    <row r="1545" customFormat="1" x14ac:dyDescent="0.25"/>
    <row r="1546" customFormat="1" x14ac:dyDescent="0.25"/>
    <row r="1547" customFormat="1" x14ac:dyDescent="0.25"/>
    <row r="1548" customFormat="1" x14ac:dyDescent="0.25"/>
    <row r="1549" customFormat="1" x14ac:dyDescent="0.25"/>
    <row r="1550" customFormat="1" x14ac:dyDescent="0.25"/>
    <row r="1551" customFormat="1" x14ac:dyDescent="0.25"/>
    <row r="1552" customFormat="1" x14ac:dyDescent="0.25"/>
    <row r="1553" customFormat="1" x14ac:dyDescent="0.25"/>
    <row r="1554" customFormat="1" x14ac:dyDescent="0.25"/>
    <row r="1555" customFormat="1" x14ac:dyDescent="0.25"/>
    <row r="1556" customFormat="1" x14ac:dyDescent="0.25"/>
    <row r="1557" customFormat="1" x14ac:dyDescent="0.25"/>
    <row r="1558" customFormat="1" x14ac:dyDescent="0.25"/>
    <row r="1559" customFormat="1" x14ac:dyDescent="0.25"/>
    <row r="1560" customFormat="1" x14ac:dyDescent="0.25"/>
    <row r="1561" customFormat="1" x14ac:dyDescent="0.25"/>
    <row r="1562" customFormat="1" x14ac:dyDescent="0.25"/>
    <row r="1563" customFormat="1" x14ac:dyDescent="0.25"/>
    <row r="1564" customFormat="1" x14ac:dyDescent="0.25"/>
    <row r="1565" customFormat="1" x14ac:dyDescent="0.25"/>
    <row r="1566" customFormat="1" x14ac:dyDescent="0.25"/>
    <row r="1567" customFormat="1" x14ac:dyDescent="0.25"/>
    <row r="1568" customFormat="1" x14ac:dyDescent="0.25"/>
    <row r="1569" customFormat="1" x14ac:dyDescent="0.25"/>
    <row r="1570" customFormat="1" x14ac:dyDescent="0.25"/>
    <row r="1571" customFormat="1" x14ac:dyDescent="0.25"/>
    <row r="1572" customFormat="1" x14ac:dyDescent="0.25"/>
    <row r="1573" customFormat="1" x14ac:dyDescent="0.25"/>
    <row r="1574" customFormat="1" x14ac:dyDescent="0.25"/>
    <row r="1575" customFormat="1" x14ac:dyDescent="0.25"/>
    <row r="1576" customFormat="1" x14ac:dyDescent="0.25"/>
    <row r="1577" customFormat="1" x14ac:dyDescent="0.25"/>
    <row r="1578" customFormat="1" x14ac:dyDescent="0.25"/>
    <row r="1579" customFormat="1" x14ac:dyDescent="0.25"/>
    <row r="1580" customFormat="1" x14ac:dyDescent="0.25"/>
    <row r="1581" customFormat="1" x14ac:dyDescent="0.25"/>
    <row r="1582" customFormat="1" x14ac:dyDescent="0.25"/>
    <row r="1583" customFormat="1" x14ac:dyDescent="0.25"/>
    <row r="1584" customFormat="1" x14ac:dyDescent="0.25"/>
    <row r="1585" customFormat="1" x14ac:dyDescent="0.25"/>
    <row r="1586" customFormat="1" x14ac:dyDescent="0.25"/>
    <row r="1587" customFormat="1" x14ac:dyDescent="0.25"/>
    <row r="1588" customFormat="1" x14ac:dyDescent="0.25"/>
    <row r="1589" customFormat="1" x14ac:dyDescent="0.25"/>
    <row r="1590" customFormat="1" x14ac:dyDescent="0.25"/>
    <row r="1591" customFormat="1" x14ac:dyDescent="0.25"/>
    <row r="1592" customFormat="1" x14ac:dyDescent="0.25"/>
    <row r="1593" customFormat="1" x14ac:dyDescent="0.25"/>
    <row r="1594" customFormat="1" x14ac:dyDescent="0.25"/>
    <row r="1595" customFormat="1" x14ac:dyDescent="0.25"/>
    <row r="1596" customFormat="1" x14ac:dyDescent="0.25"/>
    <row r="1597" customFormat="1" x14ac:dyDescent="0.25"/>
    <row r="1598" customFormat="1" x14ac:dyDescent="0.25"/>
    <row r="1599" customFormat="1" x14ac:dyDescent="0.25"/>
    <row r="1600" customFormat="1" x14ac:dyDescent="0.25"/>
    <row r="1601" customFormat="1" x14ac:dyDescent="0.25"/>
    <row r="1602" customFormat="1" x14ac:dyDescent="0.25"/>
    <row r="1603" customFormat="1" x14ac:dyDescent="0.25"/>
    <row r="1604" customFormat="1" x14ac:dyDescent="0.25"/>
    <row r="1605" customFormat="1" x14ac:dyDescent="0.25"/>
    <row r="1606" customFormat="1" x14ac:dyDescent="0.25"/>
    <row r="1607" customFormat="1" x14ac:dyDescent="0.25"/>
    <row r="1608" customFormat="1" x14ac:dyDescent="0.25"/>
    <row r="1609" customFormat="1" x14ac:dyDescent="0.25"/>
    <row r="1610" customFormat="1" x14ac:dyDescent="0.25"/>
    <row r="1611" customFormat="1" x14ac:dyDescent="0.25"/>
    <row r="1612" customFormat="1" x14ac:dyDescent="0.25"/>
    <row r="1613" customFormat="1" x14ac:dyDescent="0.25"/>
    <row r="1614" customFormat="1" x14ac:dyDescent="0.25"/>
    <row r="1615" customFormat="1" x14ac:dyDescent="0.25"/>
    <row r="1616" customFormat="1" x14ac:dyDescent="0.25"/>
    <row r="1617" customFormat="1" x14ac:dyDescent="0.25"/>
    <row r="1618" customFormat="1" x14ac:dyDescent="0.25"/>
    <row r="1619" customFormat="1" x14ac:dyDescent="0.25"/>
    <row r="1620" customFormat="1" x14ac:dyDescent="0.25"/>
    <row r="1621" customFormat="1" x14ac:dyDescent="0.25"/>
    <row r="1622" customFormat="1" x14ac:dyDescent="0.25"/>
    <row r="1623" customFormat="1" x14ac:dyDescent="0.25"/>
    <row r="1624" customFormat="1" x14ac:dyDescent="0.25"/>
    <row r="1625" customFormat="1" x14ac:dyDescent="0.25"/>
    <row r="1626" customFormat="1" x14ac:dyDescent="0.25"/>
    <row r="1627" customFormat="1" x14ac:dyDescent="0.25"/>
    <row r="1628" customFormat="1" x14ac:dyDescent="0.25"/>
    <row r="1629" customFormat="1" x14ac:dyDescent="0.25"/>
    <row r="1630" customFormat="1" x14ac:dyDescent="0.25"/>
    <row r="1631" customFormat="1" x14ac:dyDescent="0.25"/>
    <row r="1632" customFormat="1" x14ac:dyDescent="0.25"/>
    <row r="1633" customFormat="1" x14ac:dyDescent="0.25"/>
    <row r="1634" customFormat="1" x14ac:dyDescent="0.25"/>
    <row r="1635" customFormat="1" x14ac:dyDescent="0.25"/>
    <row r="1636" customFormat="1" x14ac:dyDescent="0.25"/>
    <row r="1637" customFormat="1" x14ac:dyDescent="0.25"/>
    <row r="1638" customFormat="1" x14ac:dyDescent="0.25"/>
    <row r="1639" customFormat="1" x14ac:dyDescent="0.25"/>
    <row r="1640" customFormat="1" x14ac:dyDescent="0.25"/>
    <row r="1641" customFormat="1" x14ac:dyDescent="0.25"/>
    <row r="1642" customFormat="1" x14ac:dyDescent="0.25"/>
    <row r="1643" customFormat="1" x14ac:dyDescent="0.25"/>
    <row r="1644" customFormat="1" x14ac:dyDescent="0.25"/>
    <row r="1645" customFormat="1" x14ac:dyDescent="0.25"/>
    <row r="1646" customFormat="1" x14ac:dyDescent="0.25"/>
    <row r="1647" customFormat="1" x14ac:dyDescent="0.25"/>
    <row r="1648" customFormat="1" x14ac:dyDescent="0.25"/>
    <row r="1649" customFormat="1" x14ac:dyDescent="0.25"/>
    <row r="1650" customFormat="1" x14ac:dyDescent="0.25"/>
    <row r="1651" customFormat="1" x14ac:dyDescent="0.25"/>
    <row r="1652" customFormat="1" x14ac:dyDescent="0.25"/>
    <row r="1653" customFormat="1" x14ac:dyDescent="0.25"/>
    <row r="1654" customFormat="1" x14ac:dyDescent="0.25"/>
    <row r="1655" customFormat="1" x14ac:dyDescent="0.25"/>
    <row r="1656" customFormat="1" x14ac:dyDescent="0.25"/>
    <row r="1657" customFormat="1" x14ac:dyDescent="0.25"/>
    <row r="1658" customFormat="1" x14ac:dyDescent="0.25"/>
    <row r="1659" customFormat="1" x14ac:dyDescent="0.25"/>
    <row r="1660" customFormat="1" x14ac:dyDescent="0.25"/>
    <row r="1661" customFormat="1" x14ac:dyDescent="0.25"/>
    <row r="1662" customFormat="1" x14ac:dyDescent="0.25"/>
    <row r="1663" customFormat="1" x14ac:dyDescent="0.25"/>
    <row r="1664" customFormat="1" x14ac:dyDescent="0.25"/>
    <row r="1665" customFormat="1" x14ac:dyDescent="0.25"/>
    <row r="1666" customFormat="1" x14ac:dyDescent="0.25"/>
    <row r="1667" customFormat="1" x14ac:dyDescent="0.25"/>
    <row r="1668" customFormat="1" x14ac:dyDescent="0.25"/>
    <row r="1669" customFormat="1" x14ac:dyDescent="0.25"/>
    <row r="1670" customFormat="1" x14ac:dyDescent="0.25"/>
    <row r="1671" customFormat="1" x14ac:dyDescent="0.25"/>
    <row r="1672" customFormat="1" x14ac:dyDescent="0.25"/>
    <row r="1673" customFormat="1" x14ac:dyDescent="0.25"/>
    <row r="1674" customFormat="1" x14ac:dyDescent="0.25"/>
    <row r="1675" customFormat="1" x14ac:dyDescent="0.25"/>
    <row r="1676" customFormat="1" x14ac:dyDescent="0.25"/>
    <row r="1677" customFormat="1" x14ac:dyDescent="0.25"/>
    <row r="1678" customFormat="1" x14ac:dyDescent="0.25"/>
    <row r="1679" customFormat="1" x14ac:dyDescent="0.25"/>
    <row r="1680" customFormat="1" x14ac:dyDescent="0.25"/>
    <row r="1681" customFormat="1" x14ac:dyDescent="0.25"/>
    <row r="1682" customFormat="1" x14ac:dyDescent="0.25"/>
    <row r="1683" customFormat="1" x14ac:dyDescent="0.25"/>
    <row r="1684" customFormat="1" x14ac:dyDescent="0.25"/>
    <row r="1685" customFormat="1" x14ac:dyDescent="0.25"/>
    <row r="1686" customFormat="1" x14ac:dyDescent="0.25"/>
    <row r="1687" customFormat="1" x14ac:dyDescent="0.25"/>
    <row r="1688" customFormat="1" x14ac:dyDescent="0.25"/>
    <row r="1689" customFormat="1" x14ac:dyDescent="0.25"/>
    <row r="1690" customFormat="1" x14ac:dyDescent="0.25"/>
    <row r="1691" customFormat="1" x14ac:dyDescent="0.25"/>
    <row r="1692" customFormat="1" x14ac:dyDescent="0.25"/>
    <row r="1693" customFormat="1" x14ac:dyDescent="0.25"/>
    <row r="1694" customFormat="1" x14ac:dyDescent="0.25"/>
    <row r="1695" customFormat="1" x14ac:dyDescent="0.25"/>
    <row r="1696" customFormat="1" x14ac:dyDescent="0.25"/>
    <row r="1697" customFormat="1" x14ac:dyDescent="0.25"/>
    <row r="1698" customFormat="1" x14ac:dyDescent="0.25"/>
    <row r="1699" customFormat="1" x14ac:dyDescent="0.25"/>
    <row r="1700" customFormat="1" x14ac:dyDescent="0.25"/>
    <row r="1701" customFormat="1" x14ac:dyDescent="0.25"/>
    <row r="1702" customFormat="1" x14ac:dyDescent="0.25"/>
    <row r="1703" customFormat="1" x14ac:dyDescent="0.25"/>
    <row r="1704" customFormat="1" x14ac:dyDescent="0.25"/>
    <row r="1705" customFormat="1" x14ac:dyDescent="0.25"/>
    <row r="1706" customFormat="1" x14ac:dyDescent="0.25"/>
    <row r="1707" customFormat="1" x14ac:dyDescent="0.25"/>
    <row r="1708" customFormat="1" x14ac:dyDescent="0.25"/>
    <row r="1709" customFormat="1" x14ac:dyDescent="0.25"/>
    <row r="1710" customFormat="1" x14ac:dyDescent="0.25"/>
    <row r="1711" customFormat="1" x14ac:dyDescent="0.25"/>
    <row r="1712" customFormat="1" x14ac:dyDescent="0.25"/>
    <row r="1713" customFormat="1" x14ac:dyDescent="0.25"/>
    <row r="1714" customFormat="1" x14ac:dyDescent="0.25"/>
    <row r="1715" customFormat="1" x14ac:dyDescent="0.25"/>
    <row r="1716" customFormat="1" x14ac:dyDescent="0.25"/>
    <row r="1717" customFormat="1" x14ac:dyDescent="0.25"/>
    <row r="1718" customFormat="1" x14ac:dyDescent="0.25"/>
    <row r="1719" customFormat="1" x14ac:dyDescent="0.25"/>
    <row r="1720" customFormat="1" x14ac:dyDescent="0.25"/>
    <row r="1721" customFormat="1" x14ac:dyDescent="0.25"/>
    <row r="1722" customFormat="1" x14ac:dyDescent="0.25"/>
    <row r="1723" customFormat="1" x14ac:dyDescent="0.25"/>
    <row r="1724" customFormat="1" x14ac:dyDescent="0.25"/>
    <row r="1725" customFormat="1" x14ac:dyDescent="0.25"/>
    <row r="1726" customFormat="1" x14ac:dyDescent="0.25"/>
    <row r="1727" customFormat="1" x14ac:dyDescent="0.25"/>
    <row r="1728" customFormat="1" x14ac:dyDescent="0.25"/>
    <row r="1729" customFormat="1" x14ac:dyDescent="0.25"/>
    <row r="1730" customFormat="1" x14ac:dyDescent="0.25"/>
    <row r="1731" customFormat="1" x14ac:dyDescent="0.25"/>
    <row r="1732" customFormat="1" x14ac:dyDescent="0.25"/>
    <row r="1733" customFormat="1" x14ac:dyDescent="0.25"/>
    <row r="1734" customFormat="1" x14ac:dyDescent="0.25"/>
    <row r="1735" customFormat="1" x14ac:dyDescent="0.25"/>
    <row r="1736" customFormat="1" x14ac:dyDescent="0.25"/>
    <row r="1737" customFormat="1" x14ac:dyDescent="0.25"/>
    <row r="1738" customFormat="1" x14ac:dyDescent="0.25"/>
    <row r="1739" customFormat="1" x14ac:dyDescent="0.25"/>
    <row r="1740" customFormat="1" x14ac:dyDescent="0.25"/>
    <row r="1741" customFormat="1" x14ac:dyDescent="0.25"/>
    <row r="1742" customFormat="1" x14ac:dyDescent="0.25"/>
    <row r="1743" customFormat="1" x14ac:dyDescent="0.25"/>
    <row r="1744" customFormat="1" x14ac:dyDescent="0.25"/>
    <row r="1745" customFormat="1" x14ac:dyDescent="0.25"/>
    <row r="1746" customFormat="1" x14ac:dyDescent="0.25"/>
    <row r="1747" customFormat="1" x14ac:dyDescent="0.25"/>
    <row r="1748" customFormat="1" x14ac:dyDescent="0.25"/>
    <row r="1749" customFormat="1" x14ac:dyDescent="0.25"/>
    <row r="1750" customFormat="1" x14ac:dyDescent="0.25"/>
    <row r="1751" customFormat="1" x14ac:dyDescent="0.25"/>
    <row r="1752" customFormat="1" x14ac:dyDescent="0.25"/>
    <row r="1753" customFormat="1" x14ac:dyDescent="0.25"/>
    <row r="1754" customFormat="1" x14ac:dyDescent="0.25"/>
    <row r="1755" customFormat="1" x14ac:dyDescent="0.25"/>
    <row r="1756" customFormat="1" x14ac:dyDescent="0.25"/>
    <row r="1757" customFormat="1" x14ac:dyDescent="0.25"/>
    <row r="1758" customFormat="1" x14ac:dyDescent="0.25"/>
    <row r="1759" customFormat="1" x14ac:dyDescent="0.25"/>
    <row r="1760" customFormat="1" x14ac:dyDescent="0.25"/>
    <row r="1761" customFormat="1" x14ac:dyDescent="0.25"/>
    <row r="1762" customFormat="1" x14ac:dyDescent="0.25"/>
    <row r="1763" customFormat="1" x14ac:dyDescent="0.25"/>
    <row r="1764" customFormat="1" x14ac:dyDescent="0.25"/>
    <row r="1765" customFormat="1" x14ac:dyDescent="0.25"/>
    <row r="1766" customFormat="1" x14ac:dyDescent="0.25"/>
    <row r="1767" customFormat="1" x14ac:dyDescent="0.25"/>
    <row r="1768" customFormat="1" x14ac:dyDescent="0.25"/>
    <row r="1769" customFormat="1" x14ac:dyDescent="0.25"/>
    <row r="1770" customFormat="1" x14ac:dyDescent="0.25"/>
    <row r="1771" customFormat="1" x14ac:dyDescent="0.25"/>
    <row r="1772" customFormat="1" x14ac:dyDescent="0.25"/>
    <row r="1773" customFormat="1" x14ac:dyDescent="0.25"/>
    <row r="1774" customFormat="1" x14ac:dyDescent="0.25"/>
    <row r="1775" customFormat="1" x14ac:dyDescent="0.25"/>
    <row r="1776" customFormat="1" x14ac:dyDescent="0.25"/>
    <row r="1777" customFormat="1" x14ac:dyDescent="0.25"/>
    <row r="1778" customFormat="1" x14ac:dyDescent="0.25"/>
    <row r="1779" customFormat="1" x14ac:dyDescent="0.25"/>
    <row r="1780" customFormat="1" x14ac:dyDescent="0.25"/>
    <row r="1781" customFormat="1" x14ac:dyDescent="0.25"/>
    <row r="1782" customFormat="1" x14ac:dyDescent="0.25"/>
    <row r="1783" customFormat="1" x14ac:dyDescent="0.25"/>
    <row r="1784" customFormat="1" x14ac:dyDescent="0.25"/>
    <row r="1785" customFormat="1" x14ac:dyDescent="0.25"/>
    <row r="1786" customFormat="1" x14ac:dyDescent="0.25"/>
    <row r="1787" customFormat="1" x14ac:dyDescent="0.25"/>
    <row r="1788" customFormat="1" x14ac:dyDescent="0.25"/>
    <row r="1789" customFormat="1" x14ac:dyDescent="0.25"/>
    <row r="1790" customFormat="1" x14ac:dyDescent="0.25"/>
    <row r="1791" customFormat="1" x14ac:dyDescent="0.25"/>
    <row r="1792" customFormat="1" x14ac:dyDescent="0.25"/>
    <row r="1793" customFormat="1" x14ac:dyDescent="0.25"/>
    <row r="1794" customFormat="1" x14ac:dyDescent="0.25"/>
    <row r="1795" customFormat="1" x14ac:dyDescent="0.25"/>
    <row r="1796" customFormat="1" x14ac:dyDescent="0.25"/>
    <row r="1797" customFormat="1" x14ac:dyDescent="0.25"/>
    <row r="1798" customFormat="1" x14ac:dyDescent="0.25"/>
    <row r="1799" customFormat="1" x14ac:dyDescent="0.25"/>
    <row r="1800" customFormat="1" x14ac:dyDescent="0.25"/>
    <row r="1801" customFormat="1" x14ac:dyDescent="0.25"/>
    <row r="1802" customFormat="1" x14ac:dyDescent="0.25"/>
    <row r="1803" customFormat="1" x14ac:dyDescent="0.25"/>
    <row r="1804" customFormat="1" x14ac:dyDescent="0.25"/>
    <row r="1805" customFormat="1" x14ac:dyDescent="0.25"/>
    <row r="1806" customFormat="1" x14ac:dyDescent="0.25"/>
    <row r="1807" customFormat="1" x14ac:dyDescent="0.25"/>
    <row r="1808" customFormat="1" x14ac:dyDescent="0.25"/>
    <row r="1809" customFormat="1" x14ac:dyDescent="0.25"/>
    <row r="1810" customFormat="1" x14ac:dyDescent="0.25"/>
    <row r="1811" customFormat="1" x14ac:dyDescent="0.25"/>
    <row r="1812" customFormat="1" x14ac:dyDescent="0.25"/>
    <row r="1813" customFormat="1" x14ac:dyDescent="0.25"/>
    <row r="1814" customFormat="1" x14ac:dyDescent="0.25"/>
    <row r="1815" customFormat="1" x14ac:dyDescent="0.25"/>
    <row r="1816" customFormat="1" x14ac:dyDescent="0.25"/>
    <row r="1817" customFormat="1" x14ac:dyDescent="0.25"/>
    <row r="1818" customFormat="1" x14ac:dyDescent="0.25"/>
    <row r="1819" customFormat="1" x14ac:dyDescent="0.25"/>
    <row r="1820" customFormat="1" x14ac:dyDescent="0.25"/>
    <row r="1821" customFormat="1" x14ac:dyDescent="0.25"/>
    <row r="1822" customFormat="1" x14ac:dyDescent="0.25"/>
    <row r="1823" customFormat="1" x14ac:dyDescent="0.25"/>
    <row r="1824" customFormat="1" x14ac:dyDescent="0.25"/>
    <row r="1825" customFormat="1" x14ac:dyDescent="0.25"/>
    <row r="1826" customFormat="1" x14ac:dyDescent="0.25"/>
    <row r="1827" customFormat="1" x14ac:dyDescent="0.25"/>
    <row r="1828" customFormat="1" x14ac:dyDescent="0.25"/>
    <row r="1829" customFormat="1" x14ac:dyDescent="0.25"/>
    <row r="1830" customFormat="1" x14ac:dyDescent="0.25"/>
    <row r="1831" customFormat="1" x14ac:dyDescent="0.25"/>
    <row r="1832" customFormat="1" x14ac:dyDescent="0.25"/>
    <row r="1833" customFormat="1" x14ac:dyDescent="0.25"/>
    <row r="1834" customFormat="1" x14ac:dyDescent="0.25"/>
    <row r="1835" customFormat="1" x14ac:dyDescent="0.25"/>
    <row r="1836" customFormat="1" x14ac:dyDescent="0.25"/>
    <row r="1837" customFormat="1" x14ac:dyDescent="0.25"/>
    <row r="1838" customFormat="1" x14ac:dyDescent="0.25"/>
    <row r="1839" customFormat="1" x14ac:dyDescent="0.25"/>
    <row r="1840" customFormat="1" x14ac:dyDescent="0.25"/>
    <row r="1841" customFormat="1" x14ac:dyDescent="0.25"/>
    <row r="1842" customFormat="1" x14ac:dyDescent="0.25"/>
    <row r="1843" customFormat="1" x14ac:dyDescent="0.25"/>
    <row r="1844" customFormat="1" x14ac:dyDescent="0.25"/>
    <row r="1845" customFormat="1" x14ac:dyDescent="0.25"/>
    <row r="1846" customFormat="1" x14ac:dyDescent="0.25"/>
    <row r="1847" customFormat="1" x14ac:dyDescent="0.25"/>
    <row r="1848" customFormat="1" x14ac:dyDescent="0.25"/>
    <row r="1849" customFormat="1" x14ac:dyDescent="0.25"/>
    <row r="1850" customFormat="1" x14ac:dyDescent="0.25"/>
    <row r="1851" customFormat="1" x14ac:dyDescent="0.25"/>
    <row r="1852" customFormat="1" x14ac:dyDescent="0.25"/>
    <row r="1853" customFormat="1" x14ac:dyDescent="0.25"/>
    <row r="1854" customFormat="1" x14ac:dyDescent="0.25"/>
    <row r="1855" customFormat="1" x14ac:dyDescent="0.25"/>
    <row r="1856" customFormat="1" x14ac:dyDescent="0.25"/>
    <row r="1857" customFormat="1" x14ac:dyDescent="0.25"/>
    <row r="1858" customFormat="1" x14ac:dyDescent="0.25"/>
    <row r="1859" customFormat="1" x14ac:dyDescent="0.25"/>
    <row r="1860" customFormat="1" x14ac:dyDescent="0.25"/>
    <row r="1861" customFormat="1" x14ac:dyDescent="0.25"/>
    <row r="1862" customFormat="1" x14ac:dyDescent="0.25"/>
    <row r="1863" customFormat="1" x14ac:dyDescent="0.25"/>
    <row r="1864" customFormat="1" x14ac:dyDescent="0.25"/>
    <row r="1865" customFormat="1" x14ac:dyDescent="0.25"/>
    <row r="1866" customFormat="1" x14ac:dyDescent="0.25"/>
    <row r="1867" customFormat="1" x14ac:dyDescent="0.25"/>
    <row r="1868" customFormat="1" x14ac:dyDescent="0.25"/>
    <row r="1869" customFormat="1" x14ac:dyDescent="0.25"/>
    <row r="1870" customFormat="1" x14ac:dyDescent="0.25"/>
    <row r="1871" customFormat="1" x14ac:dyDescent="0.25"/>
    <row r="1872" customFormat="1" x14ac:dyDescent="0.25"/>
    <row r="1873" customFormat="1" x14ac:dyDescent="0.25"/>
    <row r="1874" customFormat="1" x14ac:dyDescent="0.25"/>
    <row r="1875" customFormat="1" x14ac:dyDescent="0.25"/>
    <row r="1876" customFormat="1" x14ac:dyDescent="0.25"/>
    <row r="1877" customFormat="1" x14ac:dyDescent="0.25"/>
    <row r="1878" customFormat="1" x14ac:dyDescent="0.25"/>
    <row r="1879" customFormat="1" x14ac:dyDescent="0.25"/>
    <row r="1880" customFormat="1" x14ac:dyDescent="0.25"/>
    <row r="1881" customFormat="1" x14ac:dyDescent="0.25"/>
    <row r="1882" customFormat="1" x14ac:dyDescent="0.25"/>
    <row r="1883" customFormat="1" x14ac:dyDescent="0.25"/>
    <row r="1884" customFormat="1" x14ac:dyDescent="0.25"/>
    <row r="1885" customFormat="1" x14ac:dyDescent="0.25"/>
    <row r="1886" customFormat="1" x14ac:dyDescent="0.25"/>
    <row r="1887" customFormat="1" x14ac:dyDescent="0.25"/>
    <row r="1888" customFormat="1" x14ac:dyDescent="0.25"/>
    <row r="1889" customFormat="1" x14ac:dyDescent="0.25"/>
    <row r="1890" customFormat="1" x14ac:dyDescent="0.25"/>
    <row r="1891" customFormat="1" x14ac:dyDescent="0.25"/>
    <row r="1892" customFormat="1" x14ac:dyDescent="0.25"/>
    <row r="1893" customFormat="1" x14ac:dyDescent="0.25"/>
    <row r="1894" customFormat="1" x14ac:dyDescent="0.25"/>
    <row r="1895" customFormat="1" x14ac:dyDescent="0.25"/>
    <row r="1896" customFormat="1" x14ac:dyDescent="0.25"/>
    <row r="1897" customFormat="1" x14ac:dyDescent="0.25"/>
    <row r="1898" customFormat="1" x14ac:dyDescent="0.25"/>
    <row r="1899" customFormat="1" x14ac:dyDescent="0.25"/>
    <row r="1900" customFormat="1" x14ac:dyDescent="0.25"/>
    <row r="1901" customFormat="1" x14ac:dyDescent="0.25"/>
    <row r="1902" customFormat="1" x14ac:dyDescent="0.25"/>
    <row r="1903" customFormat="1" x14ac:dyDescent="0.25"/>
    <row r="1904" customFormat="1" x14ac:dyDescent="0.25"/>
    <row r="1905" customFormat="1" x14ac:dyDescent="0.25"/>
    <row r="1906" customFormat="1" x14ac:dyDescent="0.25"/>
    <row r="1907" customFormat="1" x14ac:dyDescent="0.25"/>
    <row r="1908" customFormat="1" x14ac:dyDescent="0.25"/>
    <row r="1909" customFormat="1" x14ac:dyDescent="0.25"/>
    <row r="1910" customFormat="1" x14ac:dyDescent="0.25"/>
    <row r="1911" customFormat="1" x14ac:dyDescent="0.25"/>
    <row r="1912" customFormat="1" x14ac:dyDescent="0.25"/>
    <row r="1913" customFormat="1" x14ac:dyDescent="0.25"/>
    <row r="1914" customFormat="1" x14ac:dyDescent="0.25"/>
    <row r="1915" customFormat="1" x14ac:dyDescent="0.25"/>
    <row r="1916" customFormat="1" x14ac:dyDescent="0.25"/>
    <row r="1917" customFormat="1" x14ac:dyDescent="0.25"/>
    <row r="1918" customFormat="1" x14ac:dyDescent="0.25"/>
    <row r="1919" customFormat="1" x14ac:dyDescent="0.25"/>
    <row r="1920" customFormat="1" x14ac:dyDescent="0.25"/>
    <row r="1921" customFormat="1" x14ac:dyDescent="0.25"/>
    <row r="1922" customFormat="1" x14ac:dyDescent="0.25"/>
    <row r="1923" customFormat="1" x14ac:dyDescent="0.25"/>
    <row r="1924" customFormat="1" x14ac:dyDescent="0.25"/>
    <row r="1925" customFormat="1" x14ac:dyDescent="0.25"/>
    <row r="1926" customFormat="1" x14ac:dyDescent="0.25"/>
    <row r="1927" customFormat="1" x14ac:dyDescent="0.25"/>
    <row r="1928" customFormat="1" x14ac:dyDescent="0.25"/>
    <row r="1929" customFormat="1" x14ac:dyDescent="0.25"/>
    <row r="1930" customFormat="1" x14ac:dyDescent="0.25"/>
    <row r="1931" customFormat="1" x14ac:dyDescent="0.25"/>
    <row r="1932" customFormat="1" x14ac:dyDescent="0.25"/>
    <row r="1933" customFormat="1" x14ac:dyDescent="0.25"/>
    <row r="1934" customFormat="1" x14ac:dyDescent="0.25"/>
    <row r="1935" customFormat="1" x14ac:dyDescent="0.25"/>
    <row r="1936" customFormat="1" x14ac:dyDescent="0.25"/>
    <row r="1937" customFormat="1" x14ac:dyDescent="0.25"/>
    <row r="1938" customFormat="1" x14ac:dyDescent="0.25"/>
    <row r="1939" customFormat="1" x14ac:dyDescent="0.25"/>
    <row r="1940" customFormat="1" x14ac:dyDescent="0.25"/>
    <row r="1941" customFormat="1" x14ac:dyDescent="0.25"/>
    <row r="1942" customFormat="1" x14ac:dyDescent="0.25"/>
    <row r="1943" customFormat="1" x14ac:dyDescent="0.25"/>
    <row r="1944" customFormat="1" x14ac:dyDescent="0.25"/>
    <row r="1945" customFormat="1" x14ac:dyDescent="0.25"/>
    <row r="1946" customFormat="1" x14ac:dyDescent="0.25"/>
    <row r="1947" customFormat="1" x14ac:dyDescent="0.25"/>
    <row r="1948" customFormat="1" x14ac:dyDescent="0.25"/>
    <row r="1949" customFormat="1" x14ac:dyDescent="0.25"/>
    <row r="1950" customFormat="1" x14ac:dyDescent="0.25"/>
    <row r="1951" customFormat="1" x14ac:dyDescent="0.25"/>
    <row r="1952" customFormat="1" x14ac:dyDescent="0.25"/>
    <row r="1953" customFormat="1" x14ac:dyDescent="0.25"/>
    <row r="1954" customFormat="1" x14ac:dyDescent="0.25"/>
    <row r="1955" customFormat="1" x14ac:dyDescent="0.25"/>
    <row r="1956" customFormat="1" x14ac:dyDescent="0.25"/>
    <row r="1957" customFormat="1" x14ac:dyDescent="0.25"/>
    <row r="1958" customFormat="1" x14ac:dyDescent="0.25"/>
    <row r="1959" customFormat="1" x14ac:dyDescent="0.25"/>
    <row r="1960" customFormat="1" x14ac:dyDescent="0.25"/>
    <row r="1961" customFormat="1" x14ac:dyDescent="0.25"/>
    <row r="1962" customFormat="1" x14ac:dyDescent="0.25"/>
    <row r="1963" customFormat="1" x14ac:dyDescent="0.25"/>
    <row r="1964" customFormat="1" x14ac:dyDescent="0.25"/>
    <row r="1965" customFormat="1" x14ac:dyDescent="0.25"/>
    <row r="1966" customFormat="1" x14ac:dyDescent="0.25"/>
    <row r="1967" customFormat="1" x14ac:dyDescent="0.25"/>
    <row r="1968" customFormat="1" x14ac:dyDescent="0.25"/>
    <row r="1969" customFormat="1" x14ac:dyDescent="0.25"/>
    <row r="1970" customFormat="1" x14ac:dyDescent="0.25"/>
    <row r="1971" customFormat="1" x14ac:dyDescent="0.25"/>
    <row r="1972" customFormat="1" x14ac:dyDescent="0.25"/>
    <row r="1973" customFormat="1" x14ac:dyDescent="0.25"/>
    <row r="1974" customFormat="1" x14ac:dyDescent="0.25"/>
    <row r="1975" customFormat="1" x14ac:dyDescent="0.25"/>
    <row r="1976" customFormat="1" x14ac:dyDescent="0.25"/>
    <row r="1977" customFormat="1" x14ac:dyDescent="0.25"/>
    <row r="1978" customFormat="1" x14ac:dyDescent="0.25"/>
    <row r="1979" customFormat="1" x14ac:dyDescent="0.25"/>
    <row r="1980" customFormat="1" x14ac:dyDescent="0.25"/>
    <row r="1981" customFormat="1" x14ac:dyDescent="0.25"/>
    <row r="1982" customFormat="1" x14ac:dyDescent="0.25"/>
    <row r="1983" customFormat="1" x14ac:dyDescent="0.25"/>
    <row r="1984" customFormat="1" x14ac:dyDescent="0.25"/>
    <row r="1985" customFormat="1" x14ac:dyDescent="0.25"/>
    <row r="1986" customFormat="1" x14ac:dyDescent="0.25"/>
    <row r="1987" customFormat="1" x14ac:dyDescent="0.25"/>
    <row r="1988" customFormat="1" x14ac:dyDescent="0.25"/>
    <row r="1989" customFormat="1" x14ac:dyDescent="0.25"/>
    <row r="1990" customFormat="1" x14ac:dyDescent="0.25"/>
    <row r="1991" customFormat="1" x14ac:dyDescent="0.25"/>
    <row r="1992" customFormat="1" x14ac:dyDescent="0.25"/>
    <row r="1993" customFormat="1" x14ac:dyDescent="0.25"/>
    <row r="1994" customFormat="1" x14ac:dyDescent="0.25"/>
    <row r="1995" customFormat="1" x14ac:dyDescent="0.25"/>
    <row r="1996" customFormat="1" x14ac:dyDescent="0.25"/>
    <row r="1997" customFormat="1" x14ac:dyDescent="0.25"/>
    <row r="1998" customFormat="1" x14ac:dyDescent="0.25"/>
    <row r="1999" customFormat="1" x14ac:dyDescent="0.25"/>
    <row r="2000" customFormat="1" x14ac:dyDescent="0.25"/>
    <row r="2001" customFormat="1" x14ac:dyDescent="0.25"/>
    <row r="2002" customFormat="1" x14ac:dyDescent="0.25"/>
    <row r="2003" customFormat="1" x14ac:dyDescent="0.25"/>
    <row r="2004" customFormat="1" x14ac:dyDescent="0.25"/>
    <row r="2005" customFormat="1" x14ac:dyDescent="0.25"/>
    <row r="2006" customFormat="1" x14ac:dyDescent="0.25"/>
    <row r="2007" customFormat="1" x14ac:dyDescent="0.25"/>
    <row r="2008" customFormat="1" x14ac:dyDescent="0.25"/>
    <row r="2009" customFormat="1" x14ac:dyDescent="0.25"/>
    <row r="2010" customFormat="1" x14ac:dyDescent="0.25"/>
    <row r="2011" customFormat="1" x14ac:dyDescent="0.25"/>
    <row r="2012" customFormat="1" x14ac:dyDescent="0.25"/>
    <row r="2013" customFormat="1" x14ac:dyDescent="0.25"/>
    <row r="2014" customFormat="1" x14ac:dyDescent="0.25"/>
    <row r="2015" customFormat="1" x14ac:dyDescent="0.25"/>
    <row r="2016" customFormat="1" x14ac:dyDescent="0.25"/>
    <row r="2017" customFormat="1" x14ac:dyDescent="0.25"/>
    <row r="2018" customFormat="1" x14ac:dyDescent="0.25"/>
    <row r="2019" customFormat="1" x14ac:dyDescent="0.25"/>
    <row r="2020" customFormat="1" x14ac:dyDescent="0.25"/>
    <row r="2021" customFormat="1" x14ac:dyDescent="0.25"/>
    <row r="2022" customFormat="1" x14ac:dyDescent="0.25"/>
    <row r="2023" customFormat="1" x14ac:dyDescent="0.25"/>
    <row r="2024" customFormat="1" x14ac:dyDescent="0.25"/>
    <row r="2025" customFormat="1" x14ac:dyDescent="0.25"/>
    <row r="2026" customFormat="1" x14ac:dyDescent="0.25"/>
    <row r="2027" customFormat="1" x14ac:dyDescent="0.25"/>
    <row r="2028" customFormat="1" x14ac:dyDescent="0.25"/>
    <row r="2029" customFormat="1" x14ac:dyDescent="0.25"/>
    <row r="2030" customFormat="1" x14ac:dyDescent="0.25"/>
    <row r="2031" customFormat="1" x14ac:dyDescent="0.25"/>
    <row r="2032" customFormat="1" x14ac:dyDescent="0.25"/>
    <row r="2033" customFormat="1" x14ac:dyDescent="0.25"/>
    <row r="2034" customFormat="1" x14ac:dyDescent="0.25"/>
    <row r="2035" customFormat="1" x14ac:dyDescent="0.25"/>
    <row r="2036" customFormat="1" x14ac:dyDescent="0.25"/>
    <row r="2037" customFormat="1" x14ac:dyDescent="0.25"/>
    <row r="2038" customFormat="1" x14ac:dyDescent="0.25"/>
    <row r="2039" customFormat="1" x14ac:dyDescent="0.25"/>
    <row r="2040" customFormat="1" x14ac:dyDescent="0.25"/>
    <row r="2041" customFormat="1" x14ac:dyDescent="0.25"/>
    <row r="2042" customFormat="1" x14ac:dyDescent="0.25"/>
    <row r="2043" customFormat="1" x14ac:dyDescent="0.25"/>
    <row r="2044" customFormat="1" x14ac:dyDescent="0.25"/>
    <row r="2045" customFormat="1" x14ac:dyDescent="0.25"/>
    <row r="2046" customFormat="1" x14ac:dyDescent="0.25"/>
    <row r="2047" customFormat="1" x14ac:dyDescent="0.25"/>
    <row r="2048" customFormat="1" x14ac:dyDescent="0.25"/>
    <row r="2049" customFormat="1" x14ac:dyDescent="0.25"/>
    <row r="2050" customFormat="1" x14ac:dyDescent="0.25"/>
    <row r="2051" customFormat="1" x14ac:dyDescent="0.25"/>
    <row r="2052" customFormat="1" x14ac:dyDescent="0.25"/>
    <row r="2053" customFormat="1" x14ac:dyDescent="0.25"/>
    <row r="2054" customFormat="1" x14ac:dyDescent="0.25"/>
    <row r="2055" customFormat="1" x14ac:dyDescent="0.25"/>
    <row r="2056" customFormat="1" x14ac:dyDescent="0.25"/>
    <row r="2057" customFormat="1" x14ac:dyDescent="0.25"/>
    <row r="2058" customFormat="1" x14ac:dyDescent="0.25"/>
    <row r="2059" customFormat="1" x14ac:dyDescent="0.25"/>
    <row r="2060" customFormat="1" x14ac:dyDescent="0.25"/>
    <row r="2061" customFormat="1" x14ac:dyDescent="0.25"/>
    <row r="2062" customFormat="1" x14ac:dyDescent="0.25"/>
    <row r="2063" customFormat="1" x14ac:dyDescent="0.25"/>
    <row r="2064" customFormat="1" x14ac:dyDescent="0.25"/>
    <row r="2065" customFormat="1" x14ac:dyDescent="0.25"/>
    <row r="2066" customFormat="1" x14ac:dyDescent="0.25"/>
    <row r="2067" customFormat="1" x14ac:dyDescent="0.25"/>
    <row r="2068" customFormat="1" x14ac:dyDescent="0.25"/>
    <row r="2069" customFormat="1" x14ac:dyDescent="0.25"/>
    <row r="2070" customFormat="1" x14ac:dyDescent="0.25"/>
    <row r="2071" customFormat="1" x14ac:dyDescent="0.25"/>
    <row r="2072" customFormat="1" x14ac:dyDescent="0.25"/>
    <row r="2073" customFormat="1" x14ac:dyDescent="0.25"/>
    <row r="2074" customFormat="1" x14ac:dyDescent="0.25"/>
    <row r="2075" customFormat="1" x14ac:dyDescent="0.25"/>
    <row r="2076" customFormat="1" x14ac:dyDescent="0.25"/>
    <row r="2077" customFormat="1" x14ac:dyDescent="0.25"/>
    <row r="2078" customFormat="1" x14ac:dyDescent="0.25"/>
    <row r="2079" customFormat="1" x14ac:dyDescent="0.25"/>
    <row r="2080" customFormat="1" x14ac:dyDescent="0.25"/>
    <row r="2081" customFormat="1" x14ac:dyDescent="0.25"/>
    <row r="2082" customFormat="1" x14ac:dyDescent="0.25"/>
    <row r="2083" customFormat="1" x14ac:dyDescent="0.25"/>
    <row r="2084" customFormat="1" x14ac:dyDescent="0.25"/>
    <row r="2085" customFormat="1" x14ac:dyDescent="0.25"/>
    <row r="2086" customFormat="1" x14ac:dyDescent="0.25"/>
    <row r="2087" customFormat="1" x14ac:dyDescent="0.25"/>
    <row r="2088" customFormat="1" x14ac:dyDescent="0.25"/>
    <row r="2089" customFormat="1" x14ac:dyDescent="0.25"/>
    <row r="2090" customFormat="1" x14ac:dyDescent="0.25"/>
    <row r="2091" customFormat="1" x14ac:dyDescent="0.25"/>
    <row r="2092" customFormat="1" x14ac:dyDescent="0.25"/>
    <row r="2093" customFormat="1" x14ac:dyDescent="0.25"/>
    <row r="2094" customFormat="1" x14ac:dyDescent="0.25"/>
    <row r="2095" customFormat="1" x14ac:dyDescent="0.25"/>
    <row r="2096" customFormat="1" x14ac:dyDescent="0.25"/>
    <row r="2097" customFormat="1" x14ac:dyDescent="0.25"/>
    <row r="2098" customFormat="1" x14ac:dyDescent="0.25"/>
    <row r="2099" customFormat="1" x14ac:dyDescent="0.25"/>
    <row r="2100" customFormat="1" x14ac:dyDescent="0.25"/>
    <row r="2101" customFormat="1" x14ac:dyDescent="0.25"/>
    <row r="2102" customFormat="1" x14ac:dyDescent="0.25"/>
    <row r="2103" customFormat="1" x14ac:dyDescent="0.25"/>
    <row r="2104" customFormat="1" x14ac:dyDescent="0.25"/>
    <row r="2105" customFormat="1" x14ac:dyDescent="0.25"/>
    <row r="2106" customFormat="1" x14ac:dyDescent="0.25"/>
    <row r="2107" customFormat="1" x14ac:dyDescent="0.25"/>
    <row r="2108" customFormat="1" x14ac:dyDescent="0.25"/>
    <row r="2109" customFormat="1" x14ac:dyDescent="0.25"/>
    <row r="2110" customFormat="1" x14ac:dyDescent="0.25"/>
    <row r="2111" customFormat="1" x14ac:dyDescent="0.25"/>
    <row r="2112" customFormat="1" x14ac:dyDescent="0.25"/>
    <row r="2113" customFormat="1" x14ac:dyDescent="0.25"/>
    <row r="2114" customFormat="1" x14ac:dyDescent="0.25"/>
    <row r="2115" customFormat="1" x14ac:dyDescent="0.25"/>
    <row r="2116" customFormat="1" x14ac:dyDescent="0.25"/>
    <row r="2117" customFormat="1" x14ac:dyDescent="0.25"/>
    <row r="2118" customFormat="1" x14ac:dyDescent="0.25"/>
    <row r="2119" customFormat="1" x14ac:dyDescent="0.25"/>
    <row r="2120" customFormat="1" x14ac:dyDescent="0.25"/>
    <row r="2121" customFormat="1" x14ac:dyDescent="0.25"/>
    <row r="2122" customFormat="1" x14ac:dyDescent="0.25"/>
    <row r="2123" customFormat="1" x14ac:dyDescent="0.25"/>
    <row r="2124" customFormat="1" x14ac:dyDescent="0.25"/>
    <row r="2125" customFormat="1" x14ac:dyDescent="0.25"/>
    <row r="2126" customFormat="1" x14ac:dyDescent="0.25"/>
    <row r="2127" customFormat="1" x14ac:dyDescent="0.25"/>
    <row r="2128" customFormat="1" x14ac:dyDescent="0.25"/>
    <row r="2129" customFormat="1" x14ac:dyDescent="0.25"/>
    <row r="2130" customFormat="1" x14ac:dyDescent="0.25"/>
    <row r="2131" customFormat="1" x14ac:dyDescent="0.25"/>
    <row r="2132" customFormat="1" x14ac:dyDescent="0.25"/>
    <row r="2133" customFormat="1" x14ac:dyDescent="0.25"/>
    <row r="2134" customFormat="1" x14ac:dyDescent="0.25"/>
    <row r="2135" customFormat="1" x14ac:dyDescent="0.25"/>
    <row r="2136" customFormat="1" x14ac:dyDescent="0.25"/>
    <row r="2137" customFormat="1" x14ac:dyDescent="0.25"/>
    <row r="2138" customFormat="1" x14ac:dyDescent="0.25"/>
    <row r="2139" customFormat="1" x14ac:dyDescent="0.25"/>
    <row r="2140" customFormat="1" x14ac:dyDescent="0.25"/>
    <row r="2141" customFormat="1" x14ac:dyDescent="0.25"/>
    <row r="2142" customFormat="1" x14ac:dyDescent="0.25"/>
    <row r="2143" customFormat="1" x14ac:dyDescent="0.25"/>
    <row r="2144" customFormat="1" x14ac:dyDescent="0.25"/>
    <row r="2145" customFormat="1" x14ac:dyDescent="0.25"/>
    <row r="2146" customFormat="1" x14ac:dyDescent="0.25"/>
    <row r="2147" customFormat="1" x14ac:dyDescent="0.25"/>
    <row r="2148" customFormat="1" x14ac:dyDescent="0.25"/>
    <row r="2149" customFormat="1" x14ac:dyDescent="0.25"/>
    <row r="2150" customFormat="1" x14ac:dyDescent="0.25"/>
    <row r="2151" customFormat="1" x14ac:dyDescent="0.25"/>
    <row r="2152" customFormat="1" x14ac:dyDescent="0.25"/>
    <row r="2153" customFormat="1" x14ac:dyDescent="0.25"/>
    <row r="2154" customFormat="1" x14ac:dyDescent="0.25"/>
    <row r="2155" customFormat="1" x14ac:dyDescent="0.25"/>
    <row r="2156" customFormat="1" x14ac:dyDescent="0.25"/>
    <row r="2157" customFormat="1" x14ac:dyDescent="0.25"/>
    <row r="2158" customFormat="1" x14ac:dyDescent="0.25"/>
    <row r="2159" customFormat="1" x14ac:dyDescent="0.25"/>
    <row r="2160" customFormat="1" x14ac:dyDescent="0.25"/>
    <row r="2161" customFormat="1" x14ac:dyDescent="0.25"/>
    <row r="2162" customFormat="1" x14ac:dyDescent="0.25"/>
    <row r="2163" customFormat="1" x14ac:dyDescent="0.25"/>
    <row r="2164" customFormat="1" x14ac:dyDescent="0.25"/>
    <row r="2165" customFormat="1" x14ac:dyDescent="0.25"/>
    <row r="2166" customFormat="1" x14ac:dyDescent="0.25"/>
    <row r="2167" customFormat="1" x14ac:dyDescent="0.25"/>
    <row r="2168" customFormat="1" x14ac:dyDescent="0.25"/>
    <row r="2169" customFormat="1" x14ac:dyDescent="0.25"/>
    <row r="2170" customFormat="1" x14ac:dyDescent="0.25"/>
    <row r="2171" customFormat="1" x14ac:dyDescent="0.25"/>
    <row r="2172" customFormat="1" x14ac:dyDescent="0.25"/>
    <row r="2173" customFormat="1" x14ac:dyDescent="0.25"/>
    <row r="2174" customFormat="1" x14ac:dyDescent="0.25"/>
    <row r="2175" customFormat="1" x14ac:dyDescent="0.25"/>
    <row r="2176" customFormat="1" x14ac:dyDescent="0.25"/>
    <row r="2177" customFormat="1" x14ac:dyDescent="0.25"/>
    <row r="2178" customFormat="1" x14ac:dyDescent="0.25"/>
    <row r="2179" customFormat="1" x14ac:dyDescent="0.25"/>
    <row r="2180" customFormat="1" x14ac:dyDescent="0.25"/>
    <row r="2181" customFormat="1" x14ac:dyDescent="0.25"/>
    <row r="2182" customFormat="1" x14ac:dyDescent="0.25"/>
    <row r="2183" customFormat="1" x14ac:dyDescent="0.25"/>
    <row r="2184" customFormat="1" x14ac:dyDescent="0.25"/>
    <row r="2185" customFormat="1" x14ac:dyDescent="0.25"/>
    <row r="2186" customFormat="1" x14ac:dyDescent="0.25"/>
    <row r="2187" customFormat="1" x14ac:dyDescent="0.25"/>
    <row r="2188" customFormat="1" x14ac:dyDescent="0.25"/>
    <row r="2189" customFormat="1" x14ac:dyDescent="0.25"/>
    <row r="2190" customFormat="1" x14ac:dyDescent="0.25"/>
    <row r="2191" customFormat="1" x14ac:dyDescent="0.25"/>
    <row r="2192" customFormat="1" x14ac:dyDescent="0.25"/>
    <row r="2193" customFormat="1" x14ac:dyDescent="0.25"/>
    <row r="2194" customFormat="1" x14ac:dyDescent="0.25"/>
    <row r="2195" customFormat="1" x14ac:dyDescent="0.25"/>
    <row r="2196" customFormat="1" x14ac:dyDescent="0.25"/>
    <row r="2197" customFormat="1" x14ac:dyDescent="0.25"/>
    <row r="2198" customFormat="1" x14ac:dyDescent="0.25"/>
    <row r="2199" customFormat="1" x14ac:dyDescent="0.25"/>
    <row r="2200" customFormat="1" x14ac:dyDescent="0.25"/>
    <row r="2201" customFormat="1" x14ac:dyDescent="0.25"/>
    <row r="2202" customFormat="1" x14ac:dyDescent="0.25"/>
    <row r="2203" customFormat="1" x14ac:dyDescent="0.25"/>
    <row r="2204" customFormat="1" x14ac:dyDescent="0.25"/>
    <row r="2205" customFormat="1" x14ac:dyDescent="0.25"/>
    <row r="2206" customFormat="1" x14ac:dyDescent="0.25"/>
    <row r="2207" customFormat="1" x14ac:dyDescent="0.25"/>
    <row r="2208" customFormat="1" x14ac:dyDescent="0.25"/>
    <row r="2209" customFormat="1" x14ac:dyDescent="0.25"/>
    <row r="2210" customFormat="1" x14ac:dyDescent="0.25"/>
    <row r="2211" customFormat="1" x14ac:dyDescent="0.25"/>
    <row r="2212" customFormat="1" x14ac:dyDescent="0.25"/>
    <row r="2213" customFormat="1" x14ac:dyDescent="0.25"/>
    <row r="2214" customFormat="1" x14ac:dyDescent="0.25"/>
    <row r="2215" customFormat="1" x14ac:dyDescent="0.25"/>
    <row r="2216" customFormat="1" x14ac:dyDescent="0.25"/>
    <row r="2217" customFormat="1" x14ac:dyDescent="0.25"/>
    <row r="2218" customFormat="1" x14ac:dyDescent="0.25"/>
    <row r="2219" customFormat="1" x14ac:dyDescent="0.25"/>
    <row r="2220" customFormat="1" x14ac:dyDescent="0.25"/>
    <row r="2221" customFormat="1" x14ac:dyDescent="0.25"/>
    <row r="2222" customFormat="1" x14ac:dyDescent="0.25"/>
    <row r="2223" customFormat="1" x14ac:dyDescent="0.25"/>
    <row r="2224" customFormat="1" x14ac:dyDescent="0.25"/>
    <row r="2225" customFormat="1" x14ac:dyDescent="0.25"/>
    <row r="2226" customFormat="1" x14ac:dyDescent="0.25"/>
    <row r="2227" customFormat="1" x14ac:dyDescent="0.25"/>
    <row r="2228" customFormat="1" x14ac:dyDescent="0.25"/>
    <row r="2229" customFormat="1" x14ac:dyDescent="0.25"/>
    <row r="2230" customFormat="1" x14ac:dyDescent="0.25"/>
    <row r="2231" customFormat="1" x14ac:dyDescent="0.25"/>
    <row r="2232" customFormat="1" x14ac:dyDescent="0.25"/>
    <row r="2233" customFormat="1" x14ac:dyDescent="0.25"/>
    <row r="2234" customFormat="1" x14ac:dyDescent="0.25"/>
    <row r="2235" customFormat="1" x14ac:dyDescent="0.25"/>
    <row r="2236" customFormat="1" x14ac:dyDescent="0.25"/>
    <row r="2237" customFormat="1" x14ac:dyDescent="0.25"/>
    <row r="2238" customFormat="1" x14ac:dyDescent="0.25"/>
    <row r="2239" customFormat="1" x14ac:dyDescent="0.25"/>
    <row r="2240" customFormat="1" x14ac:dyDescent="0.25"/>
    <row r="2241" customFormat="1" x14ac:dyDescent="0.25"/>
    <row r="2242" customFormat="1" x14ac:dyDescent="0.25"/>
    <row r="2243" customFormat="1" x14ac:dyDescent="0.25"/>
    <row r="2244" customFormat="1" x14ac:dyDescent="0.25"/>
    <row r="2245" customFormat="1" x14ac:dyDescent="0.25"/>
    <row r="2246" customFormat="1" x14ac:dyDescent="0.25"/>
    <row r="2247" customFormat="1" x14ac:dyDescent="0.25"/>
    <row r="2248" customFormat="1" x14ac:dyDescent="0.25"/>
    <row r="2249" customFormat="1" x14ac:dyDescent="0.25"/>
    <row r="2250" customFormat="1" x14ac:dyDescent="0.25"/>
    <row r="2251" customFormat="1" x14ac:dyDescent="0.25"/>
    <row r="2252" customFormat="1" x14ac:dyDescent="0.25"/>
    <row r="2253" customFormat="1" x14ac:dyDescent="0.25"/>
    <row r="2254" customFormat="1" x14ac:dyDescent="0.25"/>
    <row r="2255" customFormat="1" x14ac:dyDescent="0.25"/>
    <row r="2256" customFormat="1" x14ac:dyDescent="0.25"/>
    <row r="2257" customFormat="1" x14ac:dyDescent="0.25"/>
    <row r="2258" customFormat="1" x14ac:dyDescent="0.25"/>
    <row r="2259" customFormat="1" x14ac:dyDescent="0.25"/>
    <row r="2260" customFormat="1" x14ac:dyDescent="0.25"/>
    <row r="2261" customFormat="1" x14ac:dyDescent="0.25"/>
    <row r="2262" customFormat="1" x14ac:dyDescent="0.25"/>
    <row r="2263" customFormat="1" x14ac:dyDescent="0.25"/>
    <row r="2264" customFormat="1" x14ac:dyDescent="0.25"/>
    <row r="2265" customFormat="1" x14ac:dyDescent="0.25"/>
    <row r="2266" customFormat="1" x14ac:dyDescent="0.25"/>
    <row r="2267" customFormat="1" x14ac:dyDescent="0.25"/>
    <row r="2268" customFormat="1" x14ac:dyDescent="0.25"/>
    <row r="2269" customFormat="1" x14ac:dyDescent="0.25"/>
    <row r="2270" customFormat="1" x14ac:dyDescent="0.25"/>
    <row r="2271" customFormat="1" x14ac:dyDescent="0.25"/>
    <row r="2272" customFormat="1" x14ac:dyDescent="0.25"/>
    <row r="2273" customFormat="1" x14ac:dyDescent="0.25"/>
    <row r="2274" customFormat="1" x14ac:dyDescent="0.25"/>
    <row r="2275" customFormat="1" x14ac:dyDescent="0.25"/>
    <row r="2276" customFormat="1" x14ac:dyDescent="0.25"/>
    <row r="2277" customFormat="1" x14ac:dyDescent="0.25"/>
    <row r="2278" customFormat="1" x14ac:dyDescent="0.25"/>
    <row r="2279" customFormat="1" x14ac:dyDescent="0.25"/>
    <row r="2280" customFormat="1" x14ac:dyDescent="0.25"/>
    <row r="2281" customFormat="1" x14ac:dyDescent="0.25"/>
    <row r="2282" customFormat="1" x14ac:dyDescent="0.25"/>
    <row r="2283" customFormat="1" x14ac:dyDescent="0.25"/>
    <row r="2284" customFormat="1" x14ac:dyDescent="0.25"/>
    <row r="2285" customFormat="1" x14ac:dyDescent="0.25"/>
    <row r="2286" customFormat="1" x14ac:dyDescent="0.25"/>
    <row r="2287" customFormat="1" x14ac:dyDescent="0.25"/>
    <row r="2288" customFormat="1" x14ac:dyDescent="0.25"/>
    <row r="2289" customFormat="1" x14ac:dyDescent="0.25"/>
    <row r="2290" customFormat="1" x14ac:dyDescent="0.25"/>
    <row r="2291" customFormat="1" x14ac:dyDescent="0.25"/>
    <row r="2292" customFormat="1" x14ac:dyDescent="0.25"/>
    <row r="2293" customFormat="1" x14ac:dyDescent="0.25"/>
    <row r="2294" customFormat="1" x14ac:dyDescent="0.25"/>
    <row r="2295" customFormat="1" x14ac:dyDescent="0.25"/>
    <row r="2296" customFormat="1" x14ac:dyDescent="0.25"/>
    <row r="2297" customFormat="1" x14ac:dyDescent="0.25"/>
    <row r="2298" customFormat="1" x14ac:dyDescent="0.25"/>
    <row r="2299" customFormat="1" x14ac:dyDescent="0.25"/>
    <row r="2300" customFormat="1" x14ac:dyDescent="0.25"/>
    <row r="2301" customFormat="1" x14ac:dyDescent="0.25"/>
    <row r="2302" customFormat="1" x14ac:dyDescent="0.25"/>
    <row r="2303" customFormat="1" x14ac:dyDescent="0.25"/>
    <row r="2304" customFormat="1" x14ac:dyDescent="0.25"/>
    <row r="2305" customFormat="1" x14ac:dyDescent="0.25"/>
    <row r="2306" customFormat="1" x14ac:dyDescent="0.25"/>
    <row r="2307" customFormat="1" x14ac:dyDescent="0.25"/>
    <row r="2308" customFormat="1" x14ac:dyDescent="0.25"/>
    <row r="2309" customFormat="1" x14ac:dyDescent="0.25"/>
    <row r="2310" customFormat="1" x14ac:dyDescent="0.25"/>
    <row r="2311" customFormat="1" x14ac:dyDescent="0.25"/>
    <row r="2312" customFormat="1" x14ac:dyDescent="0.25"/>
    <row r="2313" customFormat="1" x14ac:dyDescent="0.25"/>
    <row r="2314" customFormat="1" x14ac:dyDescent="0.25"/>
    <row r="2315" customFormat="1" x14ac:dyDescent="0.25"/>
    <row r="2316" customFormat="1" x14ac:dyDescent="0.25"/>
    <row r="2317" customFormat="1" x14ac:dyDescent="0.25"/>
    <row r="2318" customFormat="1" x14ac:dyDescent="0.25"/>
    <row r="2319" customFormat="1" x14ac:dyDescent="0.25"/>
    <row r="2320" customFormat="1" x14ac:dyDescent="0.25"/>
    <row r="2321" customFormat="1" x14ac:dyDescent="0.25"/>
    <row r="2322" customFormat="1" x14ac:dyDescent="0.25"/>
    <row r="2323" customFormat="1" x14ac:dyDescent="0.25"/>
    <row r="2324" customFormat="1" x14ac:dyDescent="0.25"/>
    <row r="2325" customFormat="1" x14ac:dyDescent="0.25"/>
    <row r="2326" customFormat="1" x14ac:dyDescent="0.25"/>
    <row r="2327" customFormat="1" x14ac:dyDescent="0.25"/>
    <row r="2328" customFormat="1" x14ac:dyDescent="0.25"/>
    <row r="2329" customFormat="1" x14ac:dyDescent="0.25"/>
    <row r="2330" customFormat="1" x14ac:dyDescent="0.25"/>
    <row r="2331" customFormat="1" x14ac:dyDescent="0.25"/>
    <row r="2332" customFormat="1" x14ac:dyDescent="0.25"/>
    <row r="2333" customFormat="1" x14ac:dyDescent="0.25"/>
    <row r="2334" customFormat="1" x14ac:dyDescent="0.25"/>
    <row r="2335" customFormat="1" x14ac:dyDescent="0.25"/>
    <row r="2336" customFormat="1" x14ac:dyDescent="0.25"/>
    <row r="2337" customFormat="1" x14ac:dyDescent="0.25"/>
    <row r="2338" customFormat="1" x14ac:dyDescent="0.25"/>
    <row r="2339" customFormat="1" x14ac:dyDescent="0.25"/>
    <row r="2340" customFormat="1" x14ac:dyDescent="0.25"/>
    <row r="2341" customFormat="1" x14ac:dyDescent="0.25"/>
    <row r="2342" customFormat="1" x14ac:dyDescent="0.25"/>
    <row r="2343" customFormat="1" x14ac:dyDescent="0.25"/>
    <row r="2344" customFormat="1" x14ac:dyDescent="0.25"/>
    <row r="2345" customFormat="1" x14ac:dyDescent="0.25"/>
    <row r="2346" customFormat="1" x14ac:dyDescent="0.25"/>
    <row r="2347" customFormat="1" x14ac:dyDescent="0.25"/>
    <row r="2348" customFormat="1" x14ac:dyDescent="0.25"/>
    <row r="2349" customFormat="1" x14ac:dyDescent="0.25"/>
    <row r="2350" customFormat="1" x14ac:dyDescent="0.25"/>
    <row r="2351" customFormat="1" x14ac:dyDescent="0.25"/>
    <row r="2352" customFormat="1" x14ac:dyDescent="0.25"/>
    <row r="2353" customFormat="1" x14ac:dyDescent="0.25"/>
    <row r="2354" customFormat="1" x14ac:dyDescent="0.25"/>
    <row r="2355" customFormat="1" x14ac:dyDescent="0.25"/>
    <row r="2356" customFormat="1" x14ac:dyDescent="0.25"/>
    <row r="2357" customFormat="1" x14ac:dyDescent="0.25"/>
    <row r="2358" customFormat="1" x14ac:dyDescent="0.25"/>
    <row r="2359" customFormat="1" x14ac:dyDescent="0.25"/>
    <row r="2360" customFormat="1" x14ac:dyDescent="0.25"/>
    <row r="2361" customFormat="1" x14ac:dyDescent="0.25"/>
    <row r="2362" customFormat="1" x14ac:dyDescent="0.25"/>
    <row r="2363" customFormat="1" x14ac:dyDescent="0.25"/>
    <row r="2364" customFormat="1" x14ac:dyDescent="0.25"/>
    <row r="2365" customFormat="1" x14ac:dyDescent="0.25"/>
    <row r="2366" customFormat="1" x14ac:dyDescent="0.25"/>
    <row r="2367" customFormat="1" x14ac:dyDescent="0.25"/>
    <row r="2368" customFormat="1" x14ac:dyDescent="0.25"/>
    <row r="2369" customFormat="1" x14ac:dyDescent="0.25"/>
    <row r="2370" customFormat="1" x14ac:dyDescent="0.25"/>
    <row r="2371" customFormat="1" x14ac:dyDescent="0.25"/>
    <row r="2372" customFormat="1" x14ac:dyDescent="0.25"/>
    <row r="2373" customFormat="1" x14ac:dyDescent="0.25"/>
    <row r="2374" customFormat="1" x14ac:dyDescent="0.25"/>
    <row r="2375" customFormat="1" x14ac:dyDescent="0.25"/>
    <row r="2376" customFormat="1" x14ac:dyDescent="0.25"/>
    <row r="2377" customFormat="1" x14ac:dyDescent="0.25"/>
    <row r="2378" customFormat="1" x14ac:dyDescent="0.25"/>
    <row r="2379" customFormat="1" x14ac:dyDescent="0.25"/>
    <row r="2380" customFormat="1" x14ac:dyDescent="0.25"/>
    <row r="2381" customFormat="1" x14ac:dyDescent="0.25"/>
    <row r="2382" customFormat="1" x14ac:dyDescent="0.25"/>
    <row r="2383" customFormat="1" x14ac:dyDescent="0.25"/>
    <row r="2384" customFormat="1" x14ac:dyDescent="0.25"/>
    <row r="2385" customFormat="1" x14ac:dyDescent="0.25"/>
    <row r="2386" customFormat="1" x14ac:dyDescent="0.25"/>
    <row r="2387" customFormat="1" x14ac:dyDescent="0.25"/>
    <row r="2388" customFormat="1" x14ac:dyDescent="0.25"/>
    <row r="2389" customFormat="1" x14ac:dyDescent="0.25"/>
    <row r="2390" customFormat="1" x14ac:dyDescent="0.25"/>
    <row r="2391" customFormat="1" x14ac:dyDescent="0.25"/>
    <row r="2392" customFormat="1" x14ac:dyDescent="0.25"/>
    <row r="2393" customFormat="1" x14ac:dyDescent="0.25"/>
    <row r="2394" customFormat="1" x14ac:dyDescent="0.25"/>
    <row r="2395" customFormat="1" x14ac:dyDescent="0.25"/>
    <row r="2396" customFormat="1" x14ac:dyDescent="0.25"/>
    <row r="2397" customFormat="1" x14ac:dyDescent="0.25"/>
    <row r="2398" customFormat="1" x14ac:dyDescent="0.25"/>
    <row r="2399" customFormat="1" x14ac:dyDescent="0.25"/>
    <row r="2400" customFormat="1" x14ac:dyDescent="0.25"/>
    <row r="2401" customFormat="1" x14ac:dyDescent="0.25"/>
    <row r="2402" customFormat="1" x14ac:dyDescent="0.25"/>
    <row r="2403" customFormat="1" x14ac:dyDescent="0.25"/>
    <row r="2404" customFormat="1" x14ac:dyDescent="0.25"/>
    <row r="2405" customFormat="1" x14ac:dyDescent="0.25"/>
    <row r="2406" customFormat="1" x14ac:dyDescent="0.25"/>
    <row r="2407" customFormat="1" x14ac:dyDescent="0.25"/>
    <row r="2408" customFormat="1" x14ac:dyDescent="0.25"/>
    <row r="2409" customFormat="1" x14ac:dyDescent="0.25"/>
    <row r="2410" customFormat="1" x14ac:dyDescent="0.25"/>
    <row r="2411" customFormat="1" x14ac:dyDescent="0.25"/>
    <row r="2412" customFormat="1" x14ac:dyDescent="0.25"/>
    <row r="2413" customFormat="1" x14ac:dyDescent="0.25"/>
    <row r="2414" customFormat="1" x14ac:dyDescent="0.25"/>
    <row r="2415" customFormat="1" x14ac:dyDescent="0.25"/>
    <row r="2416" customFormat="1" x14ac:dyDescent="0.25"/>
    <row r="2417" customFormat="1" x14ac:dyDescent="0.25"/>
    <row r="2418" customFormat="1" x14ac:dyDescent="0.25"/>
    <row r="2419" customFormat="1" x14ac:dyDescent="0.25"/>
    <row r="2420" customFormat="1" x14ac:dyDescent="0.25"/>
    <row r="2421" customFormat="1" x14ac:dyDescent="0.25"/>
    <row r="2422" customFormat="1" x14ac:dyDescent="0.25"/>
    <row r="2423" customFormat="1" x14ac:dyDescent="0.25"/>
    <row r="2424" customFormat="1" x14ac:dyDescent="0.25"/>
    <row r="2425" customFormat="1" x14ac:dyDescent="0.25"/>
    <row r="2426" customFormat="1" x14ac:dyDescent="0.25"/>
    <row r="2427" customFormat="1" x14ac:dyDescent="0.25"/>
    <row r="2428" customFormat="1" x14ac:dyDescent="0.25"/>
    <row r="2429" customFormat="1" x14ac:dyDescent="0.25"/>
    <row r="2430" customFormat="1" x14ac:dyDescent="0.25"/>
    <row r="2431" customFormat="1" x14ac:dyDescent="0.25"/>
    <row r="2432" customFormat="1" x14ac:dyDescent="0.25"/>
    <row r="2433" customFormat="1" x14ac:dyDescent="0.25"/>
    <row r="2434" customFormat="1" x14ac:dyDescent="0.25"/>
    <row r="2435" customFormat="1" x14ac:dyDescent="0.25"/>
    <row r="2436" customFormat="1" x14ac:dyDescent="0.25"/>
    <row r="2437" customFormat="1" x14ac:dyDescent="0.25"/>
    <row r="2438" customFormat="1" x14ac:dyDescent="0.25"/>
    <row r="2439" customFormat="1" x14ac:dyDescent="0.25"/>
    <row r="2440" customFormat="1" x14ac:dyDescent="0.25"/>
    <row r="2441" customFormat="1" x14ac:dyDescent="0.25"/>
    <row r="2442" customFormat="1" x14ac:dyDescent="0.25"/>
    <row r="2443" customFormat="1" x14ac:dyDescent="0.25"/>
    <row r="2444" customFormat="1" x14ac:dyDescent="0.25"/>
    <row r="2445" customFormat="1" x14ac:dyDescent="0.25"/>
    <row r="2446" customFormat="1" x14ac:dyDescent="0.25"/>
    <row r="2447" customFormat="1" x14ac:dyDescent="0.25"/>
    <row r="2448" customFormat="1" x14ac:dyDescent="0.25"/>
    <row r="2449" customFormat="1" x14ac:dyDescent="0.25"/>
    <row r="2450" customFormat="1" x14ac:dyDescent="0.25"/>
    <row r="2451" customFormat="1" x14ac:dyDescent="0.25"/>
    <row r="2452" customFormat="1" x14ac:dyDescent="0.25"/>
    <row r="2453" customFormat="1" x14ac:dyDescent="0.25"/>
    <row r="2454" customFormat="1" x14ac:dyDescent="0.25"/>
    <row r="2455" customFormat="1" x14ac:dyDescent="0.25"/>
    <row r="2456" customFormat="1" x14ac:dyDescent="0.25"/>
    <row r="2457" customFormat="1" x14ac:dyDescent="0.25"/>
    <row r="2458" customFormat="1" x14ac:dyDescent="0.25"/>
    <row r="2459" customFormat="1" x14ac:dyDescent="0.25"/>
    <row r="2460" customFormat="1" x14ac:dyDescent="0.25"/>
    <row r="2461" customFormat="1" x14ac:dyDescent="0.25"/>
    <row r="2462" customFormat="1" x14ac:dyDescent="0.25"/>
    <row r="2463" customFormat="1" x14ac:dyDescent="0.25"/>
    <row r="2464" customFormat="1" x14ac:dyDescent="0.25"/>
    <row r="2465" customFormat="1" x14ac:dyDescent="0.25"/>
    <row r="2466" customFormat="1" x14ac:dyDescent="0.25"/>
    <row r="2467" customFormat="1" x14ac:dyDescent="0.25"/>
    <row r="2468" customFormat="1" x14ac:dyDescent="0.25"/>
    <row r="2469" customFormat="1" x14ac:dyDescent="0.25"/>
    <row r="2470" customFormat="1" x14ac:dyDescent="0.25"/>
    <row r="2471" customFormat="1" x14ac:dyDescent="0.25"/>
    <row r="2472" customFormat="1" x14ac:dyDescent="0.25"/>
    <row r="2473" customFormat="1" x14ac:dyDescent="0.25"/>
    <row r="2474" customFormat="1" x14ac:dyDescent="0.25"/>
    <row r="2475" customFormat="1" x14ac:dyDescent="0.25"/>
    <row r="2476" customFormat="1" x14ac:dyDescent="0.25"/>
    <row r="2477" customFormat="1" x14ac:dyDescent="0.25"/>
    <row r="2478" customFormat="1" x14ac:dyDescent="0.25"/>
    <row r="2479" customFormat="1" x14ac:dyDescent="0.25"/>
    <row r="2480" customFormat="1" x14ac:dyDescent="0.25"/>
    <row r="2481" customFormat="1" x14ac:dyDescent="0.25"/>
    <row r="2482" customFormat="1" x14ac:dyDescent="0.25"/>
    <row r="2483" customFormat="1" x14ac:dyDescent="0.25"/>
    <row r="2484" customFormat="1" x14ac:dyDescent="0.25"/>
    <row r="2485" customFormat="1" x14ac:dyDescent="0.25"/>
    <row r="2486" customFormat="1" x14ac:dyDescent="0.25"/>
    <row r="2487" customFormat="1" x14ac:dyDescent="0.25"/>
    <row r="2488" customFormat="1" x14ac:dyDescent="0.25"/>
    <row r="2489" customFormat="1" x14ac:dyDescent="0.25"/>
    <row r="2490" customFormat="1" x14ac:dyDescent="0.25"/>
    <row r="2491" customFormat="1" x14ac:dyDescent="0.25"/>
    <row r="2492" customFormat="1" x14ac:dyDescent="0.25"/>
    <row r="2493" customFormat="1" x14ac:dyDescent="0.25"/>
    <row r="2494" customFormat="1" x14ac:dyDescent="0.25"/>
    <row r="2495" customFormat="1" x14ac:dyDescent="0.25"/>
    <row r="2496" customFormat="1" x14ac:dyDescent="0.25"/>
    <row r="2497" customFormat="1" x14ac:dyDescent="0.25"/>
    <row r="2498" customFormat="1" x14ac:dyDescent="0.25"/>
    <row r="2499" customFormat="1" x14ac:dyDescent="0.25"/>
    <row r="2500" customFormat="1" x14ac:dyDescent="0.25"/>
    <row r="2501" customFormat="1" x14ac:dyDescent="0.25"/>
    <row r="2502" customFormat="1" x14ac:dyDescent="0.25"/>
    <row r="2503" customFormat="1" x14ac:dyDescent="0.25"/>
    <row r="2504" customFormat="1" x14ac:dyDescent="0.25"/>
    <row r="2505" customFormat="1" x14ac:dyDescent="0.25"/>
    <row r="2506" customFormat="1" x14ac:dyDescent="0.25"/>
    <row r="2507" customFormat="1" x14ac:dyDescent="0.25"/>
    <row r="2508" customFormat="1" x14ac:dyDescent="0.25"/>
    <row r="2509" customFormat="1" x14ac:dyDescent="0.25"/>
    <row r="2510" customFormat="1" x14ac:dyDescent="0.25"/>
    <row r="2511" customFormat="1" x14ac:dyDescent="0.25"/>
    <row r="2512" customFormat="1" x14ac:dyDescent="0.25"/>
    <row r="2513" customFormat="1" x14ac:dyDescent="0.25"/>
    <row r="2514" customFormat="1" x14ac:dyDescent="0.25"/>
    <row r="2515" customFormat="1" x14ac:dyDescent="0.25"/>
    <row r="2516" customFormat="1" x14ac:dyDescent="0.25"/>
    <row r="2517" customFormat="1" x14ac:dyDescent="0.25"/>
    <row r="2518" customFormat="1" x14ac:dyDescent="0.25"/>
    <row r="2519" customFormat="1" x14ac:dyDescent="0.25"/>
    <row r="2520" customFormat="1" x14ac:dyDescent="0.25"/>
    <row r="2521" customFormat="1" x14ac:dyDescent="0.25"/>
    <row r="2522" customFormat="1" x14ac:dyDescent="0.25"/>
    <row r="2523" customFormat="1" x14ac:dyDescent="0.25"/>
    <row r="2524" customFormat="1" x14ac:dyDescent="0.25"/>
    <row r="2525" customFormat="1" x14ac:dyDescent="0.25"/>
    <row r="2526" customFormat="1" x14ac:dyDescent="0.25"/>
    <row r="2527" customFormat="1" x14ac:dyDescent="0.25"/>
    <row r="2528" customFormat="1" x14ac:dyDescent="0.25"/>
    <row r="2529" customFormat="1" x14ac:dyDescent="0.25"/>
    <row r="2530" customFormat="1" x14ac:dyDescent="0.25"/>
    <row r="2531" customFormat="1" x14ac:dyDescent="0.25"/>
    <row r="2532" customFormat="1" x14ac:dyDescent="0.25"/>
    <row r="2533" customFormat="1" x14ac:dyDescent="0.25"/>
    <row r="2534" customFormat="1" x14ac:dyDescent="0.25"/>
    <row r="2535" customFormat="1" x14ac:dyDescent="0.25"/>
    <row r="2536" customFormat="1" x14ac:dyDescent="0.25"/>
    <row r="2537" customFormat="1" x14ac:dyDescent="0.25"/>
    <row r="2538" customFormat="1" x14ac:dyDescent="0.25"/>
    <row r="2539" customFormat="1" x14ac:dyDescent="0.25"/>
    <row r="2540" customFormat="1" x14ac:dyDescent="0.25"/>
    <row r="2541" customFormat="1" x14ac:dyDescent="0.25"/>
    <row r="2542" customFormat="1" x14ac:dyDescent="0.25"/>
    <row r="2543" customFormat="1" x14ac:dyDescent="0.25"/>
    <row r="2544" customFormat="1" x14ac:dyDescent="0.25"/>
    <row r="2545" customFormat="1" x14ac:dyDescent="0.25"/>
    <row r="2546" customFormat="1" x14ac:dyDescent="0.25"/>
    <row r="2547" customFormat="1" x14ac:dyDescent="0.25"/>
    <row r="2548" customFormat="1" x14ac:dyDescent="0.25"/>
    <row r="2549" customFormat="1" x14ac:dyDescent="0.25"/>
    <row r="2550" customFormat="1" x14ac:dyDescent="0.25"/>
    <row r="2551" customFormat="1" x14ac:dyDescent="0.25"/>
    <row r="2552" customFormat="1" x14ac:dyDescent="0.25"/>
    <row r="2553" customFormat="1" x14ac:dyDescent="0.25"/>
    <row r="2554" customFormat="1" x14ac:dyDescent="0.25"/>
    <row r="2555" customFormat="1" x14ac:dyDescent="0.25"/>
    <row r="2556" customFormat="1" x14ac:dyDescent="0.25"/>
    <row r="2557" customFormat="1" x14ac:dyDescent="0.25"/>
    <row r="2558" customFormat="1" x14ac:dyDescent="0.25"/>
    <row r="2559" customFormat="1" x14ac:dyDescent="0.25"/>
    <row r="2560" customFormat="1" x14ac:dyDescent="0.25"/>
    <row r="2561" customFormat="1" x14ac:dyDescent="0.25"/>
    <row r="2562" customFormat="1" x14ac:dyDescent="0.25"/>
    <row r="2563" customFormat="1" x14ac:dyDescent="0.25"/>
    <row r="2564" customFormat="1" x14ac:dyDescent="0.25"/>
    <row r="2565" customFormat="1" x14ac:dyDescent="0.25"/>
    <row r="2566" customFormat="1" x14ac:dyDescent="0.25"/>
    <row r="2567" customFormat="1" x14ac:dyDescent="0.25"/>
    <row r="2568" customFormat="1" x14ac:dyDescent="0.25"/>
    <row r="2569" customFormat="1" x14ac:dyDescent="0.25"/>
    <row r="2570" customFormat="1" x14ac:dyDescent="0.25"/>
    <row r="2571" customFormat="1" x14ac:dyDescent="0.25"/>
    <row r="2572" customFormat="1" x14ac:dyDescent="0.25"/>
    <row r="2573" customFormat="1" x14ac:dyDescent="0.25"/>
    <row r="2574" customFormat="1" x14ac:dyDescent="0.25"/>
    <row r="2575" customFormat="1" x14ac:dyDescent="0.25"/>
    <row r="2576" customFormat="1" x14ac:dyDescent="0.25"/>
    <row r="2577" customFormat="1" x14ac:dyDescent="0.25"/>
    <row r="2578" customFormat="1" x14ac:dyDescent="0.25"/>
    <row r="2579" customFormat="1" x14ac:dyDescent="0.25"/>
    <row r="2580" customFormat="1" x14ac:dyDescent="0.25"/>
    <row r="2581" customFormat="1" x14ac:dyDescent="0.25"/>
    <row r="2582" customFormat="1" x14ac:dyDescent="0.25"/>
    <row r="2583" customFormat="1" x14ac:dyDescent="0.25"/>
    <row r="2584" customFormat="1" x14ac:dyDescent="0.25"/>
    <row r="2585" customFormat="1" x14ac:dyDescent="0.25"/>
    <row r="2586" customFormat="1" x14ac:dyDescent="0.25"/>
    <row r="2587" customFormat="1" x14ac:dyDescent="0.25"/>
    <row r="2588" customFormat="1" x14ac:dyDescent="0.25"/>
    <row r="2589" customFormat="1" x14ac:dyDescent="0.25"/>
    <row r="2590" customFormat="1" x14ac:dyDescent="0.25"/>
    <row r="2591" customFormat="1" x14ac:dyDescent="0.25"/>
    <row r="2592" customFormat="1" x14ac:dyDescent="0.25"/>
    <row r="2593" customFormat="1" x14ac:dyDescent="0.25"/>
    <row r="2594" customFormat="1" x14ac:dyDescent="0.25"/>
    <row r="2595" customFormat="1" x14ac:dyDescent="0.25"/>
    <row r="2596" customFormat="1" x14ac:dyDescent="0.25"/>
    <row r="2597" customFormat="1" x14ac:dyDescent="0.25"/>
    <row r="2598" customFormat="1" x14ac:dyDescent="0.25"/>
    <row r="2599" customFormat="1" x14ac:dyDescent="0.25"/>
    <row r="2600" customFormat="1" x14ac:dyDescent="0.25"/>
    <row r="2601" customFormat="1" x14ac:dyDescent="0.25"/>
    <row r="2602" customFormat="1" x14ac:dyDescent="0.25"/>
    <row r="2603" customFormat="1" x14ac:dyDescent="0.25"/>
    <row r="2604" customFormat="1" x14ac:dyDescent="0.25"/>
    <row r="2605" customFormat="1" x14ac:dyDescent="0.25"/>
    <row r="2606" customFormat="1" x14ac:dyDescent="0.25"/>
    <row r="2607" customFormat="1" x14ac:dyDescent="0.25"/>
    <row r="2608" customFormat="1" x14ac:dyDescent="0.25"/>
    <row r="2609" customFormat="1" x14ac:dyDescent="0.25"/>
    <row r="2610" customFormat="1" x14ac:dyDescent="0.25"/>
    <row r="2611" customFormat="1" x14ac:dyDescent="0.25"/>
    <row r="2612" customFormat="1" x14ac:dyDescent="0.25"/>
    <row r="2613" customFormat="1" x14ac:dyDescent="0.25"/>
    <row r="2614" customFormat="1" x14ac:dyDescent="0.25"/>
    <row r="2615" customFormat="1" x14ac:dyDescent="0.25"/>
    <row r="2616" customFormat="1" x14ac:dyDescent="0.25"/>
    <row r="2617" customFormat="1" x14ac:dyDescent="0.25"/>
    <row r="2618" customFormat="1" x14ac:dyDescent="0.25"/>
    <row r="2619" customFormat="1" x14ac:dyDescent="0.25"/>
    <row r="2620" customFormat="1" x14ac:dyDescent="0.25"/>
    <row r="2621" customFormat="1" x14ac:dyDescent="0.25"/>
    <row r="2622" customFormat="1" x14ac:dyDescent="0.25"/>
    <row r="2623" customFormat="1" x14ac:dyDescent="0.25"/>
    <row r="2624" customFormat="1" x14ac:dyDescent="0.25"/>
    <row r="2625" customFormat="1" x14ac:dyDescent="0.25"/>
    <row r="2626" customFormat="1" x14ac:dyDescent="0.25"/>
    <row r="2627" customFormat="1" x14ac:dyDescent="0.25"/>
    <row r="2628" customFormat="1" x14ac:dyDescent="0.25"/>
    <row r="2629" customFormat="1" x14ac:dyDescent="0.25"/>
    <row r="2630" customFormat="1" x14ac:dyDescent="0.25"/>
    <row r="2631" customFormat="1" x14ac:dyDescent="0.25"/>
    <row r="2632" customFormat="1" x14ac:dyDescent="0.25"/>
    <row r="2633" customFormat="1" x14ac:dyDescent="0.25"/>
    <row r="2634" customFormat="1" x14ac:dyDescent="0.25"/>
    <row r="2635" customFormat="1" x14ac:dyDescent="0.25"/>
    <row r="2636" customFormat="1" x14ac:dyDescent="0.25"/>
    <row r="2637" customFormat="1" x14ac:dyDescent="0.25"/>
    <row r="2638" customFormat="1" x14ac:dyDescent="0.25"/>
    <row r="2639" customFormat="1" x14ac:dyDescent="0.25"/>
    <row r="2640" customFormat="1" x14ac:dyDescent="0.25"/>
    <row r="2641" customFormat="1" x14ac:dyDescent="0.25"/>
    <row r="2642" customFormat="1" x14ac:dyDescent="0.25"/>
    <row r="2643" customFormat="1" x14ac:dyDescent="0.25"/>
    <row r="2644" customFormat="1" x14ac:dyDescent="0.25"/>
    <row r="2645" customFormat="1" x14ac:dyDescent="0.25"/>
    <row r="2646" customFormat="1" x14ac:dyDescent="0.25"/>
    <row r="2647" customFormat="1" x14ac:dyDescent="0.25"/>
    <row r="2648" customFormat="1" x14ac:dyDescent="0.25"/>
    <row r="2649" customFormat="1" x14ac:dyDescent="0.25"/>
    <row r="2650" customFormat="1" x14ac:dyDescent="0.25"/>
    <row r="2651" customFormat="1" x14ac:dyDescent="0.25"/>
    <row r="2652" customFormat="1" x14ac:dyDescent="0.25"/>
    <row r="2653" customFormat="1" x14ac:dyDescent="0.25"/>
    <row r="2654" customFormat="1" x14ac:dyDescent="0.25"/>
    <row r="2655" customFormat="1" x14ac:dyDescent="0.25"/>
    <row r="2656" customFormat="1" x14ac:dyDescent="0.25"/>
    <row r="2657" customFormat="1" x14ac:dyDescent="0.25"/>
    <row r="2658" customFormat="1" x14ac:dyDescent="0.25"/>
    <row r="2659" customFormat="1" x14ac:dyDescent="0.25"/>
    <row r="2660" customFormat="1" x14ac:dyDescent="0.25"/>
    <row r="2661" customFormat="1" x14ac:dyDescent="0.25"/>
    <row r="2662" customFormat="1" x14ac:dyDescent="0.25"/>
    <row r="2663" customFormat="1" x14ac:dyDescent="0.25"/>
    <row r="2664" customFormat="1" x14ac:dyDescent="0.25"/>
    <row r="2665" customFormat="1" x14ac:dyDescent="0.25"/>
    <row r="2666" customFormat="1" x14ac:dyDescent="0.25"/>
    <row r="2667" customFormat="1" x14ac:dyDescent="0.25"/>
    <row r="2668" customFormat="1" x14ac:dyDescent="0.25"/>
    <row r="2669" customFormat="1" x14ac:dyDescent="0.25"/>
    <row r="2670" customFormat="1" x14ac:dyDescent="0.25"/>
    <row r="2671" customFormat="1" x14ac:dyDescent="0.25"/>
    <row r="2672" customFormat="1" x14ac:dyDescent="0.25"/>
    <row r="2673" customFormat="1" x14ac:dyDescent="0.25"/>
    <row r="2674" customFormat="1" x14ac:dyDescent="0.25"/>
    <row r="2675" customFormat="1" x14ac:dyDescent="0.25"/>
    <row r="2676" customFormat="1" x14ac:dyDescent="0.25"/>
    <row r="2677" customFormat="1" x14ac:dyDescent="0.25"/>
    <row r="2678" customFormat="1" x14ac:dyDescent="0.25"/>
    <row r="2679" customFormat="1" x14ac:dyDescent="0.25"/>
    <row r="2680" customFormat="1" x14ac:dyDescent="0.25"/>
    <row r="2681" customFormat="1" x14ac:dyDescent="0.25"/>
    <row r="2682" customFormat="1" x14ac:dyDescent="0.25"/>
    <row r="2683" customFormat="1" x14ac:dyDescent="0.25"/>
    <row r="2684" customFormat="1" x14ac:dyDescent="0.25"/>
    <row r="2685" customFormat="1" x14ac:dyDescent="0.25"/>
    <row r="2686" customFormat="1" x14ac:dyDescent="0.25"/>
    <row r="2687" customFormat="1" x14ac:dyDescent="0.25"/>
    <row r="2688" customFormat="1" x14ac:dyDescent="0.25"/>
    <row r="2689" customFormat="1" x14ac:dyDescent="0.25"/>
    <row r="2690" customFormat="1" x14ac:dyDescent="0.25"/>
    <row r="2691" customFormat="1" x14ac:dyDescent="0.25"/>
    <row r="2692" customFormat="1" x14ac:dyDescent="0.25"/>
    <row r="2693" customFormat="1" x14ac:dyDescent="0.25"/>
    <row r="2694" customFormat="1" x14ac:dyDescent="0.25"/>
    <row r="2695" customFormat="1" x14ac:dyDescent="0.25"/>
    <row r="2696" customFormat="1" x14ac:dyDescent="0.25"/>
    <row r="2697" customFormat="1" x14ac:dyDescent="0.25"/>
    <row r="2698" customFormat="1" x14ac:dyDescent="0.25"/>
    <row r="2699" customFormat="1" x14ac:dyDescent="0.25"/>
    <row r="2700" customFormat="1" x14ac:dyDescent="0.25"/>
    <row r="2701" customFormat="1" x14ac:dyDescent="0.25"/>
    <row r="2702" customFormat="1" x14ac:dyDescent="0.25"/>
    <row r="2703" customFormat="1" x14ac:dyDescent="0.25"/>
    <row r="2704" customFormat="1" x14ac:dyDescent="0.25"/>
    <row r="2705" customFormat="1" x14ac:dyDescent="0.25"/>
    <row r="2706" customFormat="1" x14ac:dyDescent="0.25"/>
    <row r="2707" customFormat="1" x14ac:dyDescent="0.25"/>
    <row r="2708" customFormat="1" x14ac:dyDescent="0.25"/>
    <row r="2709" customFormat="1" x14ac:dyDescent="0.25"/>
    <row r="2710" customFormat="1" x14ac:dyDescent="0.25"/>
    <row r="2711" customFormat="1" x14ac:dyDescent="0.25"/>
    <row r="2712" customFormat="1" x14ac:dyDescent="0.25"/>
    <row r="2713" customFormat="1" x14ac:dyDescent="0.25"/>
    <row r="2714" customFormat="1" x14ac:dyDescent="0.25"/>
    <row r="2715" customFormat="1" x14ac:dyDescent="0.25"/>
    <row r="2716" customFormat="1" x14ac:dyDescent="0.25"/>
    <row r="2717" customFormat="1" x14ac:dyDescent="0.25"/>
    <row r="2718" customFormat="1" x14ac:dyDescent="0.25"/>
    <row r="2719" customFormat="1" x14ac:dyDescent="0.25"/>
    <row r="2720" customFormat="1" x14ac:dyDescent="0.25"/>
    <row r="2721" customFormat="1" x14ac:dyDescent="0.25"/>
    <row r="2722" customFormat="1" x14ac:dyDescent="0.25"/>
    <row r="2723" customFormat="1" x14ac:dyDescent="0.25"/>
    <row r="2724" customFormat="1" x14ac:dyDescent="0.25"/>
    <row r="2725" customFormat="1" x14ac:dyDescent="0.25"/>
    <row r="2726" customFormat="1" x14ac:dyDescent="0.25"/>
    <row r="2727" customFormat="1" x14ac:dyDescent="0.25"/>
    <row r="2728" customFormat="1" x14ac:dyDescent="0.25"/>
    <row r="2729" customFormat="1" x14ac:dyDescent="0.25"/>
    <row r="2730" customFormat="1" x14ac:dyDescent="0.25"/>
    <row r="2731" customFormat="1" x14ac:dyDescent="0.25"/>
    <row r="2732" customFormat="1" x14ac:dyDescent="0.25"/>
    <row r="2733" customFormat="1" x14ac:dyDescent="0.25"/>
    <row r="2734" customFormat="1" x14ac:dyDescent="0.25"/>
    <row r="2735" customFormat="1" x14ac:dyDescent="0.25"/>
    <row r="2736" customFormat="1" x14ac:dyDescent="0.25"/>
    <row r="2737" customFormat="1" x14ac:dyDescent="0.25"/>
    <row r="2738" customFormat="1" x14ac:dyDescent="0.25"/>
    <row r="2739" customFormat="1" x14ac:dyDescent="0.25"/>
    <row r="2740" customFormat="1" x14ac:dyDescent="0.25"/>
    <row r="2741" customFormat="1" x14ac:dyDescent="0.25"/>
    <row r="2742" customFormat="1" x14ac:dyDescent="0.25"/>
    <row r="2743" customFormat="1" x14ac:dyDescent="0.25"/>
    <row r="2744" customFormat="1" x14ac:dyDescent="0.25"/>
    <row r="2745" customFormat="1" x14ac:dyDescent="0.25"/>
    <row r="2746" customFormat="1" x14ac:dyDescent="0.25"/>
    <row r="2747" customFormat="1" x14ac:dyDescent="0.25"/>
    <row r="2748" customFormat="1" x14ac:dyDescent="0.25"/>
    <row r="2749" customFormat="1" x14ac:dyDescent="0.25"/>
    <row r="2750" customFormat="1" x14ac:dyDescent="0.25"/>
    <row r="2751" customFormat="1" x14ac:dyDescent="0.25"/>
    <row r="2752" customFormat="1" x14ac:dyDescent="0.25"/>
    <row r="2753" customFormat="1" x14ac:dyDescent="0.25"/>
    <row r="2754" customFormat="1" x14ac:dyDescent="0.25"/>
    <row r="2755" customFormat="1" x14ac:dyDescent="0.25"/>
    <row r="2756" customFormat="1" x14ac:dyDescent="0.25"/>
    <row r="2757" customFormat="1" x14ac:dyDescent="0.25"/>
    <row r="2758" customFormat="1" x14ac:dyDescent="0.25"/>
    <row r="2759" customFormat="1" x14ac:dyDescent="0.25"/>
    <row r="2760" customFormat="1" x14ac:dyDescent="0.25"/>
    <row r="2761" customFormat="1" x14ac:dyDescent="0.25"/>
    <row r="2762" customFormat="1" x14ac:dyDescent="0.25"/>
    <row r="2763" customFormat="1" x14ac:dyDescent="0.25"/>
    <row r="2764" customFormat="1" x14ac:dyDescent="0.25"/>
    <row r="2765" customFormat="1" x14ac:dyDescent="0.25"/>
    <row r="2766" customFormat="1" x14ac:dyDescent="0.25"/>
    <row r="2767" customFormat="1" x14ac:dyDescent="0.25"/>
    <row r="2768" customFormat="1" x14ac:dyDescent="0.25"/>
    <row r="2769" customFormat="1" x14ac:dyDescent="0.25"/>
    <row r="2770" customFormat="1" x14ac:dyDescent="0.25"/>
    <row r="2771" customFormat="1" x14ac:dyDescent="0.25"/>
    <row r="2772" customFormat="1" x14ac:dyDescent="0.25"/>
    <row r="2773" customFormat="1" x14ac:dyDescent="0.25"/>
    <row r="2774" customFormat="1" x14ac:dyDescent="0.25"/>
    <row r="2775" customFormat="1" x14ac:dyDescent="0.25"/>
    <row r="2776" customFormat="1" x14ac:dyDescent="0.25"/>
    <row r="2777" customFormat="1" x14ac:dyDescent="0.25"/>
    <row r="2778" customFormat="1" x14ac:dyDescent="0.25"/>
    <row r="2779" customFormat="1" x14ac:dyDescent="0.25"/>
    <row r="2780" customFormat="1" x14ac:dyDescent="0.25"/>
    <row r="2781" customFormat="1" x14ac:dyDescent="0.25"/>
    <row r="2782" customFormat="1" x14ac:dyDescent="0.25"/>
    <row r="2783" customFormat="1" x14ac:dyDescent="0.25"/>
    <row r="2784" customFormat="1" x14ac:dyDescent="0.25"/>
    <row r="2785" customFormat="1" x14ac:dyDescent="0.25"/>
    <row r="2786" customFormat="1" x14ac:dyDescent="0.25"/>
    <row r="2787" customFormat="1" x14ac:dyDescent="0.25"/>
    <row r="2788" customFormat="1" x14ac:dyDescent="0.25"/>
    <row r="2789" customFormat="1" x14ac:dyDescent="0.25"/>
    <row r="2790" customFormat="1" x14ac:dyDescent="0.25"/>
    <row r="2791" customFormat="1" x14ac:dyDescent="0.25"/>
    <row r="2792" customFormat="1" x14ac:dyDescent="0.25"/>
    <row r="2793" customFormat="1" x14ac:dyDescent="0.25"/>
    <row r="2794" customFormat="1" x14ac:dyDescent="0.25"/>
    <row r="2795" customFormat="1" x14ac:dyDescent="0.25"/>
    <row r="2796" customFormat="1" x14ac:dyDescent="0.25"/>
    <row r="2797" customFormat="1" x14ac:dyDescent="0.25"/>
    <row r="2798" customFormat="1" x14ac:dyDescent="0.25"/>
    <row r="2799" customFormat="1" x14ac:dyDescent="0.25"/>
    <row r="2800" customFormat="1" x14ac:dyDescent="0.25"/>
    <row r="2801" customFormat="1" x14ac:dyDescent="0.25"/>
    <row r="2802" customFormat="1" x14ac:dyDescent="0.25"/>
    <row r="2803" customFormat="1" x14ac:dyDescent="0.25"/>
    <row r="2804" customFormat="1" x14ac:dyDescent="0.25"/>
    <row r="2805" customFormat="1" x14ac:dyDescent="0.25"/>
    <row r="2806" customFormat="1" x14ac:dyDescent="0.25"/>
    <row r="2807" customFormat="1" x14ac:dyDescent="0.25"/>
    <row r="2808" customFormat="1" x14ac:dyDescent="0.25"/>
    <row r="2809" customFormat="1" x14ac:dyDescent="0.25"/>
    <row r="2810" customFormat="1" x14ac:dyDescent="0.25"/>
    <row r="2811" customFormat="1" x14ac:dyDescent="0.25"/>
    <row r="2812" customFormat="1" x14ac:dyDescent="0.25"/>
    <row r="2813" customFormat="1" x14ac:dyDescent="0.25"/>
    <row r="2814" customFormat="1" x14ac:dyDescent="0.25"/>
    <row r="2815" customFormat="1" x14ac:dyDescent="0.25"/>
    <row r="2816" customFormat="1" x14ac:dyDescent="0.25"/>
    <row r="2817" customFormat="1" x14ac:dyDescent="0.25"/>
    <row r="2818" customFormat="1" x14ac:dyDescent="0.25"/>
    <row r="2819" customFormat="1" x14ac:dyDescent="0.25"/>
    <row r="2820" customFormat="1" x14ac:dyDescent="0.25"/>
    <row r="2821" customFormat="1" x14ac:dyDescent="0.25"/>
    <row r="2822" customFormat="1" x14ac:dyDescent="0.25"/>
    <row r="2823" customFormat="1" x14ac:dyDescent="0.25"/>
    <row r="2824" customFormat="1" x14ac:dyDescent="0.25"/>
    <row r="2825" customFormat="1" x14ac:dyDescent="0.25"/>
    <row r="2826" customFormat="1" x14ac:dyDescent="0.25"/>
    <row r="2827" customFormat="1" x14ac:dyDescent="0.25"/>
    <row r="2828" customFormat="1" x14ac:dyDescent="0.25"/>
    <row r="2829" customFormat="1" x14ac:dyDescent="0.25"/>
    <row r="2830" customFormat="1" x14ac:dyDescent="0.25"/>
    <row r="2831" customFormat="1" x14ac:dyDescent="0.25"/>
    <row r="2832" customFormat="1" x14ac:dyDescent="0.25"/>
    <row r="2833" customFormat="1" x14ac:dyDescent="0.25"/>
    <row r="2834" customFormat="1" x14ac:dyDescent="0.25"/>
    <row r="2835" customFormat="1" x14ac:dyDescent="0.25"/>
    <row r="2836" customFormat="1" x14ac:dyDescent="0.25"/>
    <row r="2837" customFormat="1" x14ac:dyDescent="0.25"/>
    <row r="2838" customFormat="1" x14ac:dyDescent="0.25"/>
    <row r="2839" customFormat="1" x14ac:dyDescent="0.25"/>
    <row r="2840" customFormat="1" x14ac:dyDescent="0.25"/>
    <row r="2841" customFormat="1" x14ac:dyDescent="0.25"/>
    <row r="2842" customFormat="1" x14ac:dyDescent="0.25"/>
    <row r="2843" customFormat="1" x14ac:dyDescent="0.25"/>
    <row r="2844" customFormat="1" x14ac:dyDescent="0.25"/>
    <row r="2845" customFormat="1" x14ac:dyDescent="0.25"/>
    <row r="2846" customFormat="1" x14ac:dyDescent="0.25"/>
    <row r="2847" customFormat="1" x14ac:dyDescent="0.25"/>
    <row r="2848" customFormat="1" x14ac:dyDescent="0.25"/>
    <row r="2849" customFormat="1" x14ac:dyDescent="0.25"/>
    <row r="2850" customFormat="1" x14ac:dyDescent="0.25"/>
    <row r="2851" customFormat="1" x14ac:dyDescent="0.25"/>
    <row r="2852" customFormat="1" x14ac:dyDescent="0.25"/>
    <row r="2853" customFormat="1" x14ac:dyDescent="0.25"/>
    <row r="2854" customFormat="1" x14ac:dyDescent="0.25"/>
    <row r="2855" customFormat="1" x14ac:dyDescent="0.25"/>
    <row r="2856" customFormat="1" x14ac:dyDescent="0.25"/>
    <row r="2857" customFormat="1" x14ac:dyDescent="0.25"/>
    <row r="2858" customFormat="1" x14ac:dyDescent="0.25"/>
    <row r="2859" customFormat="1" x14ac:dyDescent="0.25"/>
    <row r="2860" customFormat="1" x14ac:dyDescent="0.25"/>
    <row r="2861" customFormat="1" x14ac:dyDescent="0.25"/>
    <row r="2862" customFormat="1" x14ac:dyDescent="0.25"/>
    <row r="2863" customFormat="1" x14ac:dyDescent="0.25"/>
    <row r="2864" customFormat="1" x14ac:dyDescent="0.25"/>
    <row r="2865" customFormat="1" x14ac:dyDescent="0.25"/>
    <row r="2866" customFormat="1" x14ac:dyDescent="0.25"/>
    <row r="2867" customFormat="1" x14ac:dyDescent="0.25"/>
    <row r="2868" customFormat="1" x14ac:dyDescent="0.25"/>
    <row r="2869" customFormat="1" x14ac:dyDescent="0.25"/>
    <row r="2870" customFormat="1" x14ac:dyDescent="0.25"/>
    <row r="2871" customFormat="1" x14ac:dyDescent="0.25"/>
    <row r="2872" customFormat="1" x14ac:dyDescent="0.25"/>
    <row r="2873" customFormat="1" x14ac:dyDescent="0.25"/>
    <row r="2874" customFormat="1" x14ac:dyDescent="0.25"/>
    <row r="2875" customFormat="1" x14ac:dyDescent="0.25"/>
    <row r="2876" customFormat="1" x14ac:dyDescent="0.25"/>
    <row r="2877" customFormat="1" x14ac:dyDescent="0.25"/>
    <row r="2878" customFormat="1" x14ac:dyDescent="0.25"/>
    <row r="2879" customFormat="1" x14ac:dyDescent="0.25"/>
    <row r="2880" customFormat="1" x14ac:dyDescent="0.25"/>
    <row r="2881" customFormat="1" x14ac:dyDescent="0.25"/>
    <row r="2882" customFormat="1" x14ac:dyDescent="0.25"/>
    <row r="2883" customFormat="1" x14ac:dyDescent="0.25"/>
    <row r="2884" customFormat="1" x14ac:dyDescent="0.25"/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2C64F-C26A-4301-987F-DE1A4EFC7433}">
  <dimension ref="A1:B69"/>
  <sheetViews>
    <sheetView workbookViewId="0">
      <selection activeCell="A8" sqref="A8"/>
    </sheetView>
  </sheetViews>
  <sheetFormatPr defaultRowHeight="15" x14ac:dyDescent="0.25"/>
  <cols>
    <col min="2" max="2" width="125.140625" bestFit="1" customWidth="1"/>
  </cols>
  <sheetData>
    <row r="1" spans="1:2" ht="19.5" thickBot="1" x14ac:dyDescent="0.3">
      <c r="A1" s="7" t="s">
        <v>2198</v>
      </c>
    </row>
    <row r="2" spans="1:2" ht="16.5" thickTop="1" thickBot="1" x14ac:dyDescent="0.3">
      <c r="A2" s="8" t="s">
        <v>2199</v>
      </c>
      <c r="B2" s="10" t="s">
        <v>2200</v>
      </c>
    </row>
    <row r="3" spans="1:2" ht="15.75" thickBot="1" x14ac:dyDescent="0.3">
      <c r="A3" s="5" t="s">
        <v>145</v>
      </c>
      <c r="B3" s="11" t="s">
        <v>2201</v>
      </c>
    </row>
    <row r="4" spans="1:2" ht="15.75" thickBot="1" x14ac:dyDescent="0.3">
      <c r="A4" s="5" t="s">
        <v>156</v>
      </c>
      <c r="B4" s="11" t="s">
        <v>2202</v>
      </c>
    </row>
    <row r="5" spans="1:2" ht="15.75" thickBot="1" x14ac:dyDescent="0.3">
      <c r="A5" s="5" t="s">
        <v>166</v>
      </c>
      <c r="B5" s="11" t="s">
        <v>2203</v>
      </c>
    </row>
    <row r="6" spans="1:2" ht="15.75" thickBot="1" x14ac:dyDescent="0.3">
      <c r="A6" s="5" t="s">
        <v>178</v>
      </c>
      <c r="B6" s="11" t="s">
        <v>2204</v>
      </c>
    </row>
    <row r="7" spans="1:2" ht="15.75" thickBot="1" x14ac:dyDescent="0.3">
      <c r="A7" s="5" t="s">
        <v>191</v>
      </c>
      <c r="B7" s="11" t="s">
        <v>2205</v>
      </c>
    </row>
    <row r="8" spans="1:2" ht="15.75" thickBot="1" x14ac:dyDescent="0.3">
      <c r="A8" s="5" t="s">
        <v>103</v>
      </c>
      <c r="B8" s="11" t="s">
        <v>2206</v>
      </c>
    </row>
    <row r="9" spans="1:2" ht="15.75" thickBot="1" x14ac:dyDescent="0.3">
      <c r="A9" s="5" t="s">
        <v>213</v>
      </c>
      <c r="B9" s="11" t="s">
        <v>2207</v>
      </c>
    </row>
    <row r="10" spans="1:2" ht="15.75" thickBot="1" x14ac:dyDescent="0.3">
      <c r="A10" s="5" t="s">
        <v>223</v>
      </c>
      <c r="B10" s="11" t="s">
        <v>2208</v>
      </c>
    </row>
    <row r="11" spans="1:2" ht="15.75" thickBot="1" x14ac:dyDescent="0.3">
      <c r="A11" s="6" t="s">
        <v>231</v>
      </c>
      <c r="B11" s="12" t="s">
        <v>2209</v>
      </c>
    </row>
    <row r="12" spans="1:2" ht="20.25" thickTop="1" thickBot="1" x14ac:dyDescent="0.3">
      <c r="A12" s="7" t="s">
        <v>2210</v>
      </c>
    </row>
    <row r="13" spans="1:2" ht="16.5" thickTop="1" thickBot="1" x14ac:dyDescent="0.3">
      <c r="A13" s="8" t="s">
        <v>2199</v>
      </c>
      <c r="B13" s="10" t="s">
        <v>2200</v>
      </c>
    </row>
    <row r="14" spans="1:2" ht="15.75" thickBot="1" x14ac:dyDescent="0.3">
      <c r="A14" s="5" t="s">
        <v>239</v>
      </c>
      <c r="B14" s="11" t="s">
        <v>2211</v>
      </c>
    </row>
    <row r="15" spans="1:2" ht="15.75" thickBot="1" x14ac:dyDescent="0.3">
      <c r="A15" s="5" t="s">
        <v>246</v>
      </c>
      <c r="B15" s="11" t="s">
        <v>2212</v>
      </c>
    </row>
    <row r="16" spans="1:2" ht="15.75" thickBot="1" x14ac:dyDescent="0.3">
      <c r="A16" s="5" t="s">
        <v>255</v>
      </c>
      <c r="B16" s="11" t="s">
        <v>2213</v>
      </c>
    </row>
    <row r="17" spans="1:2" ht="15.75" thickBot="1" x14ac:dyDescent="0.3">
      <c r="A17" s="5" t="s">
        <v>262</v>
      </c>
      <c r="B17" s="11" t="s">
        <v>2214</v>
      </c>
    </row>
    <row r="18" spans="1:2" ht="15.75" thickBot="1" x14ac:dyDescent="0.3">
      <c r="A18" s="5" t="s">
        <v>270</v>
      </c>
      <c r="B18" s="11" t="s">
        <v>2215</v>
      </c>
    </row>
    <row r="19" spans="1:2" ht="15.75" thickBot="1" x14ac:dyDescent="0.3">
      <c r="A19" s="5" t="s">
        <v>278</v>
      </c>
      <c r="B19" s="11" t="s">
        <v>2216</v>
      </c>
    </row>
    <row r="20" spans="1:2" ht="15.75" thickBot="1" x14ac:dyDescent="0.3">
      <c r="A20" s="5" t="s">
        <v>284</v>
      </c>
      <c r="B20" s="11" t="s">
        <v>2217</v>
      </c>
    </row>
    <row r="21" spans="1:2" ht="15.75" thickBot="1" x14ac:dyDescent="0.3">
      <c r="A21" s="6" t="s">
        <v>291</v>
      </c>
      <c r="B21" s="12" t="s">
        <v>2218</v>
      </c>
    </row>
    <row r="22" spans="1:2" ht="20.25" thickTop="1" thickBot="1" x14ac:dyDescent="0.3">
      <c r="A22" s="7" t="s">
        <v>2219</v>
      </c>
    </row>
    <row r="23" spans="1:2" ht="16.5" thickTop="1" thickBot="1" x14ac:dyDescent="0.3">
      <c r="A23" s="8" t="s">
        <v>2199</v>
      </c>
      <c r="B23" s="10" t="s">
        <v>2200</v>
      </c>
    </row>
    <row r="24" spans="1:2" ht="15.75" thickBot="1" x14ac:dyDescent="0.3">
      <c r="A24" s="5" t="s">
        <v>298</v>
      </c>
      <c r="B24" s="11" t="s">
        <v>2220</v>
      </c>
    </row>
    <row r="25" spans="1:2" ht="15.75" thickBot="1" x14ac:dyDescent="0.3">
      <c r="A25" s="5" t="s">
        <v>305</v>
      </c>
      <c r="B25" s="11" t="s">
        <v>2221</v>
      </c>
    </row>
    <row r="26" spans="1:2" ht="15.75" thickBot="1" x14ac:dyDescent="0.3">
      <c r="A26" s="5" t="s">
        <v>312</v>
      </c>
      <c r="B26" s="11" t="s">
        <v>2222</v>
      </c>
    </row>
    <row r="27" spans="1:2" ht="15.75" thickBot="1" x14ac:dyDescent="0.3">
      <c r="A27" s="5" t="s">
        <v>319</v>
      </c>
      <c r="B27" s="11" t="s">
        <v>2223</v>
      </c>
    </row>
    <row r="28" spans="1:2" ht="15.75" thickBot="1" x14ac:dyDescent="0.3">
      <c r="A28" s="5" t="s">
        <v>326</v>
      </c>
      <c r="B28" s="11" t="s">
        <v>2224</v>
      </c>
    </row>
    <row r="29" spans="1:2" ht="15.75" thickBot="1" x14ac:dyDescent="0.3">
      <c r="A29" s="5" t="s">
        <v>333</v>
      </c>
      <c r="B29" s="11" t="s">
        <v>2225</v>
      </c>
    </row>
    <row r="30" spans="1:2" ht="15.75" thickBot="1" x14ac:dyDescent="0.3">
      <c r="A30" s="6" t="s">
        <v>339</v>
      </c>
      <c r="B30" s="12" t="s">
        <v>2226</v>
      </c>
    </row>
    <row r="31" spans="1:2" ht="20.25" thickTop="1" thickBot="1" x14ac:dyDescent="0.3">
      <c r="A31" s="7" t="s">
        <v>2227</v>
      </c>
    </row>
    <row r="32" spans="1:2" ht="16.5" thickTop="1" thickBot="1" x14ac:dyDescent="0.3">
      <c r="A32" s="8" t="s">
        <v>2199</v>
      </c>
      <c r="B32" s="10" t="s">
        <v>2200</v>
      </c>
    </row>
    <row r="33" spans="1:2" ht="15.75" thickBot="1" x14ac:dyDescent="0.3">
      <c r="A33" s="5" t="s">
        <v>346</v>
      </c>
      <c r="B33" s="11" t="s">
        <v>2228</v>
      </c>
    </row>
    <row r="34" spans="1:2" ht="15.75" thickBot="1" x14ac:dyDescent="0.3">
      <c r="A34" s="5" t="s">
        <v>352</v>
      </c>
      <c r="B34" s="11" t="s">
        <v>2229</v>
      </c>
    </row>
    <row r="35" spans="1:2" ht="15.75" thickBot="1" x14ac:dyDescent="0.3">
      <c r="A35" s="5" t="s">
        <v>357</v>
      </c>
      <c r="B35" s="11" t="s">
        <v>2230</v>
      </c>
    </row>
    <row r="36" spans="1:2" ht="15.75" thickBot="1" x14ac:dyDescent="0.3">
      <c r="A36" s="6" t="s">
        <v>364</v>
      </c>
      <c r="B36" s="12" t="s">
        <v>2231</v>
      </c>
    </row>
    <row r="37" spans="1:2" ht="20.25" thickTop="1" thickBot="1" x14ac:dyDescent="0.3">
      <c r="A37" s="7" t="s">
        <v>2232</v>
      </c>
    </row>
    <row r="38" spans="1:2" ht="16.5" thickTop="1" thickBot="1" x14ac:dyDescent="0.3">
      <c r="A38" s="8" t="s">
        <v>2199</v>
      </c>
      <c r="B38" s="10" t="s">
        <v>2200</v>
      </c>
    </row>
    <row r="39" spans="1:2" ht="15.75" thickBot="1" x14ac:dyDescent="0.3">
      <c r="A39" s="5" t="s">
        <v>369</v>
      </c>
      <c r="B39" s="11" t="s">
        <v>2233</v>
      </c>
    </row>
    <row r="40" spans="1:2" ht="15.75" thickBot="1" x14ac:dyDescent="0.3">
      <c r="A40" s="5" t="s">
        <v>374</v>
      </c>
      <c r="B40" s="11" t="s">
        <v>2234</v>
      </c>
    </row>
    <row r="41" spans="1:2" ht="15.75" thickBot="1" x14ac:dyDescent="0.3">
      <c r="A41" s="5" t="s">
        <v>379</v>
      </c>
      <c r="B41" s="11" t="s">
        <v>2235</v>
      </c>
    </row>
    <row r="42" spans="1:2" ht="15.75" thickBot="1" x14ac:dyDescent="0.3">
      <c r="A42" s="5" t="s">
        <v>384</v>
      </c>
      <c r="B42" s="11" t="s">
        <v>2236</v>
      </c>
    </row>
    <row r="43" spans="1:2" ht="15.75" thickBot="1" x14ac:dyDescent="0.3">
      <c r="A43" s="5" t="s">
        <v>389</v>
      </c>
      <c r="B43" s="11" t="s">
        <v>2237</v>
      </c>
    </row>
    <row r="44" spans="1:2" ht="15.75" thickBot="1" x14ac:dyDescent="0.3">
      <c r="A44" s="6" t="s">
        <v>394</v>
      </c>
      <c r="B44" s="12" t="s">
        <v>2238</v>
      </c>
    </row>
    <row r="45" spans="1:2" ht="20.25" thickTop="1" thickBot="1" x14ac:dyDescent="0.3">
      <c r="A45" s="7" t="s">
        <v>2239</v>
      </c>
    </row>
    <row r="46" spans="1:2" ht="16.5" thickTop="1" thickBot="1" x14ac:dyDescent="0.3">
      <c r="A46" s="8" t="s">
        <v>2199</v>
      </c>
      <c r="B46" s="10" t="s">
        <v>2200</v>
      </c>
    </row>
    <row r="47" spans="1:2" ht="15.75" thickBot="1" x14ac:dyDescent="0.3">
      <c r="A47" s="6" t="s">
        <v>399</v>
      </c>
      <c r="B47" s="12" t="s">
        <v>2240</v>
      </c>
    </row>
    <row r="48" spans="1:2" ht="20.25" thickTop="1" thickBot="1" x14ac:dyDescent="0.3">
      <c r="A48" s="7" t="s">
        <v>2241</v>
      </c>
    </row>
    <row r="49" spans="1:2" ht="16.5" thickTop="1" thickBot="1" x14ac:dyDescent="0.3">
      <c r="A49" s="8" t="s">
        <v>2199</v>
      </c>
      <c r="B49" s="10" t="s">
        <v>2200</v>
      </c>
    </row>
    <row r="50" spans="1:2" ht="15.75" thickBot="1" x14ac:dyDescent="0.3">
      <c r="A50" s="5" t="s">
        <v>404</v>
      </c>
      <c r="B50" s="11" t="s">
        <v>2242</v>
      </c>
    </row>
    <row r="51" spans="1:2" ht="15.75" thickBot="1" x14ac:dyDescent="0.3">
      <c r="A51" s="5" t="s">
        <v>409</v>
      </c>
      <c r="B51" s="11" t="s">
        <v>2243</v>
      </c>
    </row>
    <row r="52" spans="1:2" ht="15.75" thickBot="1" x14ac:dyDescent="0.3">
      <c r="A52" s="5" t="s">
        <v>414</v>
      </c>
      <c r="B52" s="11" t="s">
        <v>2244</v>
      </c>
    </row>
    <row r="53" spans="1:2" ht="15.75" thickBot="1" x14ac:dyDescent="0.3">
      <c r="A53" s="6" t="s">
        <v>419</v>
      </c>
      <c r="B53" s="12" t="s">
        <v>2245</v>
      </c>
    </row>
    <row r="54" spans="1:2" ht="20.25" thickTop="1" thickBot="1" x14ac:dyDescent="0.3">
      <c r="A54" s="7" t="s">
        <v>2246</v>
      </c>
    </row>
    <row r="55" spans="1:2" ht="16.5" thickTop="1" thickBot="1" x14ac:dyDescent="0.3">
      <c r="A55" s="8" t="s">
        <v>2199</v>
      </c>
      <c r="B55" s="10" t="s">
        <v>2200</v>
      </c>
    </row>
    <row r="56" spans="1:2" ht="15.75" thickBot="1" x14ac:dyDescent="0.3">
      <c r="A56" s="5" t="s">
        <v>424</v>
      </c>
      <c r="B56" s="11" t="s">
        <v>2247</v>
      </c>
    </row>
    <row r="57" spans="1:2" ht="15.75" thickBot="1" x14ac:dyDescent="0.3">
      <c r="A57" s="5" t="s">
        <v>429</v>
      </c>
      <c r="B57" s="11" t="s">
        <v>2248</v>
      </c>
    </row>
    <row r="58" spans="1:2" ht="15.75" thickBot="1" x14ac:dyDescent="0.3">
      <c r="A58" s="5" t="s">
        <v>433</v>
      </c>
      <c r="B58" s="11" t="s">
        <v>2249</v>
      </c>
    </row>
    <row r="59" spans="1:2" ht="15.75" thickBot="1" x14ac:dyDescent="0.3">
      <c r="A59" s="5" t="s">
        <v>438</v>
      </c>
      <c r="B59" s="11" t="s">
        <v>2250</v>
      </c>
    </row>
    <row r="60" spans="1:2" ht="15.75" thickBot="1" x14ac:dyDescent="0.3">
      <c r="A60" s="5" t="s">
        <v>443</v>
      </c>
      <c r="B60" s="11" t="s">
        <v>2251</v>
      </c>
    </row>
    <row r="61" spans="1:2" ht="15.75" thickBot="1" x14ac:dyDescent="0.3">
      <c r="A61" s="5" t="s">
        <v>448</v>
      </c>
      <c r="B61" s="11" t="s">
        <v>2252</v>
      </c>
    </row>
    <row r="62" spans="1:2" ht="15.75" thickBot="1" x14ac:dyDescent="0.3">
      <c r="A62" s="5" t="s">
        <v>453</v>
      </c>
      <c r="B62" s="11" t="s">
        <v>2253</v>
      </c>
    </row>
    <row r="63" spans="1:2" ht="15.75" thickBot="1" x14ac:dyDescent="0.3">
      <c r="A63" s="5" t="s">
        <v>458</v>
      </c>
      <c r="B63" s="11" t="s">
        <v>2254</v>
      </c>
    </row>
    <row r="64" spans="1:2" ht="15.75" thickBot="1" x14ac:dyDescent="0.3">
      <c r="A64" s="5" t="s">
        <v>463</v>
      </c>
      <c r="B64" s="11" t="s">
        <v>2255</v>
      </c>
    </row>
    <row r="65" spans="1:2" ht="15.75" thickBot="1" x14ac:dyDescent="0.3">
      <c r="A65" s="5" t="s">
        <v>468</v>
      </c>
      <c r="B65" s="11" t="s">
        <v>2256</v>
      </c>
    </row>
    <row r="66" spans="1:2" ht="15.75" thickBot="1" x14ac:dyDescent="0.3">
      <c r="A66" s="5" t="s">
        <v>473</v>
      </c>
      <c r="B66" s="11" t="s">
        <v>2257</v>
      </c>
    </row>
    <row r="67" spans="1:2" ht="15.75" thickBot="1" x14ac:dyDescent="0.3">
      <c r="A67" s="5" t="s">
        <v>476</v>
      </c>
      <c r="B67" s="11" t="s">
        <v>2258</v>
      </c>
    </row>
    <row r="68" spans="1:2" ht="15.75" thickBot="1" x14ac:dyDescent="0.3">
      <c r="A68" s="6" t="s">
        <v>478</v>
      </c>
      <c r="B68" s="12" t="s">
        <v>2259</v>
      </c>
    </row>
    <row r="69" spans="1:2" ht="15.75" thickTop="1" x14ac:dyDescent="0.25"/>
  </sheetData>
  <pageMargins left="0.7" right="0.7" top="0.75" bottom="0.75" header="0.3" footer="0.3"/>
  <pageSetup orientation="portrait" horizontalDpi="120" verticalDpi="72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13475-6115-4B36-8A5A-7A2A9192E434}">
  <dimension ref="A1:B78"/>
  <sheetViews>
    <sheetView topLeftCell="A9" workbookViewId="0">
      <selection activeCell="A37" sqref="A37"/>
    </sheetView>
  </sheetViews>
  <sheetFormatPr defaultRowHeight="15" x14ac:dyDescent="0.25"/>
  <cols>
    <col min="1" max="1" width="37.85546875" bestFit="1" customWidth="1"/>
    <col min="2" max="2" width="132" bestFit="1" customWidth="1"/>
  </cols>
  <sheetData>
    <row r="1" spans="1:2" ht="18.75" x14ac:dyDescent="0.25">
      <c r="A1" s="7" t="s">
        <v>2260</v>
      </c>
    </row>
    <row r="2" spans="1:2" ht="15.75" thickBot="1" x14ac:dyDescent="0.3"/>
    <row r="3" spans="1:2" ht="16.5" thickTop="1" thickBot="1" x14ac:dyDescent="0.3">
      <c r="A3" s="8" t="s">
        <v>2199</v>
      </c>
      <c r="B3" s="10" t="s">
        <v>2200</v>
      </c>
    </row>
    <row r="4" spans="1:2" ht="15.75" thickBot="1" x14ac:dyDescent="0.3">
      <c r="A4" s="5" t="s">
        <v>146</v>
      </c>
      <c r="B4" s="11" t="s">
        <v>2261</v>
      </c>
    </row>
    <row r="5" spans="1:2" ht="15.75" thickBot="1" x14ac:dyDescent="0.3">
      <c r="A5" s="5" t="s">
        <v>157</v>
      </c>
      <c r="B5" s="11" t="s">
        <v>2262</v>
      </c>
    </row>
    <row r="6" spans="1:2" ht="15.75" thickBot="1" x14ac:dyDescent="0.3">
      <c r="A6" s="5" t="s">
        <v>167</v>
      </c>
      <c r="B6" s="11" t="s">
        <v>2263</v>
      </c>
    </row>
    <row r="7" spans="1:2" ht="15.75" thickBot="1" x14ac:dyDescent="0.3">
      <c r="A7" s="5" t="s">
        <v>179</v>
      </c>
      <c r="B7" s="11" t="s">
        <v>2264</v>
      </c>
    </row>
    <row r="8" spans="1:2" ht="15.75" thickBot="1" x14ac:dyDescent="0.3">
      <c r="A8" s="5" t="s">
        <v>192</v>
      </c>
      <c r="B8" s="11" t="s">
        <v>2265</v>
      </c>
    </row>
    <row r="9" spans="1:2" ht="15.75" thickBot="1" x14ac:dyDescent="0.3">
      <c r="A9" s="5" t="s">
        <v>203</v>
      </c>
      <c r="B9" s="11" t="s">
        <v>2266</v>
      </c>
    </row>
    <row r="10" spans="1:2" ht="15.75" thickBot="1" x14ac:dyDescent="0.3">
      <c r="A10" s="5" t="s">
        <v>214</v>
      </c>
      <c r="B10" s="11" t="s">
        <v>2267</v>
      </c>
    </row>
    <row r="11" spans="1:2" ht="15.75" thickBot="1" x14ac:dyDescent="0.3">
      <c r="A11" s="5" t="s">
        <v>224</v>
      </c>
      <c r="B11" s="11" t="s">
        <v>2268</v>
      </c>
    </row>
    <row r="12" spans="1:2" ht="15.75" thickBot="1" x14ac:dyDescent="0.3">
      <c r="A12" s="5" t="s">
        <v>232</v>
      </c>
      <c r="B12" s="11" t="s">
        <v>2269</v>
      </c>
    </row>
    <row r="13" spans="1:2" ht="15.75" thickBot="1" x14ac:dyDescent="0.3">
      <c r="A13" s="5" t="s">
        <v>240</v>
      </c>
      <c r="B13" s="11" t="s">
        <v>2270</v>
      </c>
    </row>
    <row r="14" spans="1:2" ht="15.75" thickBot="1" x14ac:dyDescent="0.3">
      <c r="A14" s="6" t="s">
        <v>247</v>
      </c>
      <c r="B14" s="12" t="s">
        <v>2271</v>
      </c>
    </row>
    <row r="15" spans="1:2" ht="15.75" thickTop="1" x14ac:dyDescent="0.25"/>
    <row r="16" spans="1:2" ht="18.75" x14ac:dyDescent="0.25">
      <c r="A16" s="7" t="s">
        <v>2272</v>
      </c>
    </row>
    <row r="17" spans="1:2" ht="15.75" thickBot="1" x14ac:dyDescent="0.3"/>
    <row r="18" spans="1:2" ht="16.5" thickTop="1" thickBot="1" x14ac:dyDescent="0.3">
      <c r="A18" s="8" t="s">
        <v>2199</v>
      </c>
      <c r="B18" s="10" t="s">
        <v>2200</v>
      </c>
    </row>
    <row r="19" spans="1:2" ht="15.75" thickBot="1" x14ac:dyDescent="0.3">
      <c r="A19" s="5" t="s">
        <v>256</v>
      </c>
      <c r="B19" s="11" t="s">
        <v>2273</v>
      </c>
    </row>
    <row r="20" spans="1:2" ht="15.75" thickBot="1" x14ac:dyDescent="0.3">
      <c r="A20" s="5" t="s">
        <v>263</v>
      </c>
      <c r="B20" s="11" t="s">
        <v>2274</v>
      </c>
    </row>
    <row r="21" spans="1:2" ht="15.75" thickBot="1" x14ac:dyDescent="0.3">
      <c r="A21" s="5" t="s">
        <v>271</v>
      </c>
      <c r="B21" s="11" t="s">
        <v>2275</v>
      </c>
    </row>
    <row r="22" spans="1:2" ht="15.75" thickBot="1" x14ac:dyDescent="0.3">
      <c r="A22" s="5" t="s">
        <v>279</v>
      </c>
      <c r="B22" s="11" t="s">
        <v>2276</v>
      </c>
    </row>
    <row r="23" spans="1:2" ht="15.75" thickBot="1" x14ac:dyDescent="0.3">
      <c r="A23" s="5" t="s">
        <v>285</v>
      </c>
      <c r="B23" s="11" t="s">
        <v>2277</v>
      </c>
    </row>
    <row r="24" spans="1:2" ht="15.75" thickBot="1" x14ac:dyDescent="0.3">
      <c r="A24" s="5" t="s">
        <v>292</v>
      </c>
      <c r="B24" s="11" t="s">
        <v>2278</v>
      </c>
    </row>
    <row r="25" spans="1:2" ht="15.75" thickBot="1" x14ac:dyDescent="0.3">
      <c r="A25" s="5" t="s">
        <v>299</v>
      </c>
      <c r="B25" s="11" t="s">
        <v>2279</v>
      </c>
    </row>
    <row r="26" spans="1:2" ht="15.75" thickBot="1" x14ac:dyDescent="0.3">
      <c r="A26" s="6" t="s">
        <v>306</v>
      </c>
      <c r="B26" s="12" t="s">
        <v>2280</v>
      </c>
    </row>
    <row r="27" spans="1:2" ht="15.75" thickTop="1" x14ac:dyDescent="0.25"/>
    <row r="28" spans="1:2" ht="18.75" x14ac:dyDescent="0.25">
      <c r="A28" s="7" t="s">
        <v>2281</v>
      </c>
    </row>
    <row r="29" spans="1:2" ht="15.75" thickBot="1" x14ac:dyDescent="0.3"/>
    <row r="30" spans="1:2" ht="16.5" thickTop="1" thickBot="1" x14ac:dyDescent="0.3">
      <c r="A30" s="8" t="s">
        <v>2199</v>
      </c>
      <c r="B30" s="10" t="s">
        <v>2200</v>
      </c>
    </row>
    <row r="31" spans="1:2" ht="15.75" thickBot="1" x14ac:dyDescent="0.3">
      <c r="A31" s="5" t="s">
        <v>313</v>
      </c>
      <c r="B31" s="11" t="s">
        <v>2282</v>
      </c>
    </row>
    <row r="32" spans="1:2" ht="15.75" thickBot="1" x14ac:dyDescent="0.3">
      <c r="A32" s="5" t="s">
        <v>320</v>
      </c>
      <c r="B32" s="11" t="s">
        <v>2283</v>
      </c>
    </row>
    <row r="33" spans="1:2" ht="15.75" thickBot="1" x14ac:dyDescent="0.3">
      <c r="A33" s="5" t="s">
        <v>327</v>
      </c>
      <c r="B33" s="11" t="s">
        <v>2284</v>
      </c>
    </row>
    <row r="34" spans="1:2" ht="15.75" thickBot="1" x14ac:dyDescent="0.3">
      <c r="A34" s="5" t="s">
        <v>334</v>
      </c>
      <c r="B34" s="11" t="s">
        <v>2285</v>
      </c>
    </row>
    <row r="35" spans="1:2" ht="15.75" thickBot="1" x14ac:dyDescent="0.3">
      <c r="A35" s="5" t="s">
        <v>340</v>
      </c>
      <c r="B35" s="11" t="s">
        <v>2286</v>
      </c>
    </row>
    <row r="36" spans="1:2" ht="15.75" thickBot="1" x14ac:dyDescent="0.3">
      <c r="A36" s="5" t="s">
        <v>347</v>
      </c>
      <c r="B36" s="11" t="s">
        <v>2287</v>
      </c>
    </row>
    <row r="37" spans="1:2" ht="15.75" thickBot="1" x14ac:dyDescent="0.3">
      <c r="A37" s="5" t="s">
        <v>104</v>
      </c>
      <c r="B37" s="11" t="s">
        <v>2288</v>
      </c>
    </row>
    <row r="38" spans="1:2" ht="15.75" thickBot="1" x14ac:dyDescent="0.3">
      <c r="A38" s="5" t="s">
        <v>358</v>
      </c>
      <c r="B38" s="11" t="s">
        <v>2289</v>
      </c>
    </row>
    <row r="39" spans="1:2" ht="15.75" thickBot="1" x14ac:dyDescent="0.3">
      <c r="A39" s="5" t="s">
        <v>365</v>
      </c>
      <c r="B39" s="11" t="s">
        <v>2290</v>
      </c>
    </row>
    <row r="40" spans="1:2" ht="15.75" thickBot="1" x14ac:dyDescent="0.3">
      <c r="A40" s="6" t="s">
        <v>370</v>
      </c>
      <c r="B40" s="12" t="s">
        <v>2291</v>
      </c>
    </row>
    <row r="41" spans="1:2" ht="15.75" thickTop="1" x14ac:dyDescent="0.25"/>
    <row r="42" spans="1:2" ht="18.75" x14ac:dyDescent="0.25">
      <c r="A42" s="7" t="s">
        <v>2292</v>
      </c>
    </row>
    <row r="43" spans="1:2" ht="15.75" thickBot="1" x14ac:dyDescent="0.3"/>
    <row r="44" spans="1:2" ht="16.5" thickTop="1" thickBot="1" x14ac:dyDescent="0.3">
      <c r="A44" s="8" t="s">
        <v>2199</v>
      </c>
      <c r="B44" s="10" t="s">
        <v>2200</v>
      </c>
    </row>
    <row r="45" spans="1:2" ht="15.75" thickBot="1" x14ac:dyDescent="0.3">
      <c r="A45" s="5" t="s">
        <v>375</v>
      </c>
      <c r="B45" s="11" t="s">
        <v>2293</v>
      </c>
    </row>
    <row r="46" spans="1:2" ht="15.75" thickBot="1" x14ac:dyDescent="0.3">
      <c r="A46" s="5" t="s">
        <v>380</v>
      </c>
      <c r="B46" s="11" t="s">
        <v>2294</v>
      </c>
    </row>
    <row r="47" spans="1:2" ht="15.75" thickBot="1" x14ac:dyDescent="0.3">
      <c r="A47" s="5" t="s">
        <v>385</v>
      </c>
      <c r="B47" s="11" t="s">
        <v>2295</v>
      </c>
    </row>
    <row r="48" spans="1:2" ht="15.75" thickBot="1" x14ac:dyDescent="0.3">
      <c r="A48" s="5" t="s">
        <v>390</v>
      </c>
      <c r="B48" s="11" t="s">
        <v>2296</v>
      </c>
    </row>
    <row r="49" spans="1:2" ht="15.75" thickBot="1" x14ac:dyDescent="0.3">
      <c r="A49" s="5" t="s">
        <v>395</v>
      </c>
      <c r="B49" s="11" t="s">
        <v>2297</v>
      </c>
    </row>
    <row r="50" spans="1:2" ht="15.75" thickBot="1" x14ac:dyDescent="0.3">
      <c r="A50" s="6" t="s">
        <v>400</v>
      </c>
      <c r="B50" s="12" t="s">
        <v>2298</v>
      </c>
    </row>
    <row r="51" spans="1:2" ht="15.75" thickTop="1" x14ac:dyDescent="0.25"/>
    <row r="52" spans="1:2" ht="18.75" x14ac:dyDescent="0.25">
      <c r="A52" s="7" t="s">
        <v>2299</v>
      </c>
    </row>
    <row r="53" spans="1:2" ht="15.75" thickBot="1" x14ac:dyDescent="0.3"/>
    <row r="54" spans="1:2" ht="16.5" thickTop="1" thickBot="1" x14ac:dyDescent="0.3">
      <c r="A54" s="8" t="s">
        <v>2199</v>
      </c>
      <c r="B54" s="10" t="s">
        <v>2200</v>
      </c>
    </row>
    <row r="55" spans="1:2" ht="15.75" thickBot="1" x14ac:dyDescent="0.3">
      <c r="A55" s="5" t="s">
        <v>405</v>
      </c>
      <c r="B55" s="11" t="s">
        <v>2300</v>
      </c>
    </row>
    <row r="56" spans="1:2" ht="15.75" thickBot="1" x14ac:dyDescent="0.3">
      <c r="A56" s="5" t="s">
        <v>410</v>
      </c>
      <c r="B56" s="11" t="s">
        <v>2301</v>
      </c>
    </row>
    <row r="57" spans="1:2" ht="15.75" thickBot="1" x14ac:dyDescent="0.3">
      <c r="A57" s="5" t="s">
        <v>415</v>
      </c>
      <c r="B57" s="11" t="s">
        <v>2302</v>
      </c>
    </row>
    <row r="58" spans="1:2" ht="15.75" thickBot="1" x14ac:dyDescent="0.3">
      <c r="A58" s="5" t="s">
        <v>420</v>
      </c>
      <c r="B58" s="11" t="s">
        <v>2303</v>
      </c>
    </row>
    <row r="59" spans="1:2" ht="15.75" thickBot="1" x14ac:dyDescent="0.3">
      <c r="A59" s="6" t="s">
        <v>425</v>
      </c>
      <c r="B59" s="12" t="s">
        <v>2304</v>
      </c>
    </row>
    <row r="60" spans="1:2" ht="15.75" thickTop="1" x14ac:dyDescent="0.25"/>
    <row r="61" spans="1:2" ht="18.75" x14ac:dyDescent="0.25">
      <c r="A61" s="7" t="s">
        <v>2305</v>
      </c>
    </row>
    <row r="62" spans="1:2" ht="15.75" thickBot="1" x14ac:dyDescent="0.3"/>
    <row r="63" spans="1:2" ht="16.5" thickTop="1" thickBot="1" x14ac:dyDescent="0.3">
      <c r="A63" s="8" t="s">
        <v>2199</v>
      </c>
      <c r="B63" s="10" t="s">
        <v>2200</v>
      </c>
    </row>
    <row r="64" spans="1:2" ht="15.75" thickBot="1" x14ac:dyDescent="0.3">
      <c r="A64" s="5" t="s">
        <v>430</v>
      </c>
      <c r="B64" s="11" t="s">
        <v>2306</v>
      </c>
    </row>
    <row r="65" spans="1:2" ht="15.75" thickBot="1" x14ac:dyDescent="0.3">
      <c r="A65" s="5" t="s">
        <v>434</v>
      </c>
      <c r="B65" s="11" t="s">
        <v>2307</v>
      </c>
    </row>
    <row r="66" spans="1:2" ht="15.75" thickBot="1" x14ac:dyDescent="0.3">
      <c r="A66" s="5" t="s">
        <v>439</v>
      </c>
      <c r="B66" s="11" t="s">
        <v>2308</v>
      </c>
    </row>
    <row r="67" spans="1:2" ht="15.75" thickBot="1" x14ac:dyDescent="0.3">
      <c r="A67" s="5" t="s">
        <v>444</v>
      </c>
      <c r="B67" s="11" t="s">
        <v>2309</v>
      </c>
    </row>
    <row r="68" spans="1:2" ht="15.75" thickBot="1" x14ac:dyDescent="0.3">
      <c r="A68" s="5" t="s">
        <v>449</v>
      </c>
      <c r="B68" s="11" t="s">
        <v>2310</v>
      </c>
    </row>
    <row r="69" spans="1:2" ht="15.75" thickBot="1" x14ac:dyDescent="0.3">
      <c r="A69" s="6" t="s">
        <v>454</v>
      </c>
      <c r="B69" s="12" t="s">
        <v>2311</v>
      </c>
    </row>
    <row r="70" spans="1:2" ht="15.75" thickTop="1" x14ac:dyDescent="0.25"/>
    <row r="71" spans="1:2" ht="18.75" x14ac:dyDescent="0.25">
      <c r="A71" s="7" t="s">
        <v>2312</v>
      </c>
    </row>
    <row r="72" spans="1:2" ht="15.75" thickBot="1" x14ac:dyDescent="0.3"/>
    <row r="73" spans="1:2" ht="16.5" thickTop="1" thickBot="1" x14ac:dyDescent="0.3">
      <c r="A73" s="8" t="s">
        <v>2199</v>
      </c>
      <c r="B73" s="10" t="s">
        <v>2200</v>
      </c>
    </row>
    <row r="74" spans="1:2" ht="15.75" thickBot="1" x14ac:dyDescent="0.3">
      <c r="A74" s="5" t="s">
        <v>459</v>
      </c>
      <c r="B74" s="11" t="s">
        <v>2313</v>
      </c>
    </row>
    <row r="75" spans="1:2" ht="15.75" thickBot="1" x14ac:dyDescent="0.3">
      <c r="A75" s="5" t="s">
        <v>464</v>
      </c>
      <c r="B75" s="11" t="s">
        <v>2314</v>
      </c>
    </row>
    <row r="76" spans="1:2" ht="15.75" thickBot="1" x14ac:dyDescent="0.3">
      <c r="A76" s="5" t="s">
        <v>469</v>
      </c>
      <c r="B76" s="11" t="s">
        <v>2315</v>
      </c>
    </row>
    <row r="77" spans="1:2" ht="15.75" thickBot="1" x14ac:dyDescent="0.3">
      <c r="A77" s="6" t="s">
        <v>474</v>
      </c>
      <c r="B77" s="12" t="s">
        <v>2316</v>
      </c>
    </row>
    <row r="78" spans="1:2" ht="15.75" thickTop="1" x14ac:dyDescent="0.25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592E0-A996-4F8C-B6BD-906C687AAC4D}">
  <dimension ref="A1:B70"/>
  <sheetViews>
    <sheetView workbookViewId="0">
      <selection activeCell="A15" sqref="A15"/>
    </sheetView>
  </sheetViews>
  <sheetFormatPr defaultRowHeight="15" x14ac:dyDescent="0.25"/>
  <cols>
    <col min="1" max="1" width="17.5703125" customWidth="1"/>
    <col min="2" max="2" width="162.42578125" bestFit="1" customWidth="1"/>
  </cols>
  <sheetData>
    <row r="1" spans="1:2" ht="18.75" x14ac:dyDescent="0.25">
      <c r="A1" s="7" t="s">
        <v>2317</v>
      </c>
    </row>
    <row r="2" spans="1:2" ht="15.75" thickBot="1" x14ac:dyDescent="0.3"/>
    <row r="3" spans="1:2" ht="16.5" thickTop="1" thickBot="1" x14ac:dyDescent="0.3">
      <c r="A3" s="8" t="s">
        <v>2199</v>
      </c>
      <c r="B3" s="10" t="s">
        <v>2200</v>
      </c>
    </row>
    <row r="4" spans="1:2" ht="15.75" thickBot="1" x14ac:dyDescent="0.3">
      <c r="A4" s="5" t="s">
        <v>147</v>
      </c>
      <c r="B4" s="11" t="s">
        <v>2318</v>
      </c>
    </row>
    <row r="5" spans="1:2" ht="15.75" thickBot="1" x14ac:dyDescent="0.3">
      <c r="A5" s="5" t="s">
        <v>158</v>
      </c>
      <c r="B5" s="11" t="s">
        <v>2319</v>
      </c>
    </row>
    <row r="6" spans="1:2" ht="15.75" thickBot="1" x14ac:dyDescent="0.3">
      <c r="A6" s="5" t="s">
        <v>168</v>
      </c>
      <c r="B6" s="11" t="s">
        <v>2320</v>
      </c>
    </row>
    <row r="7" spans="1:2" ht="15.75" thickBot="1" x14ac:dyDescent="0.3">
      <c r="A7" s="5" t="s">
        <v>180</v>
      </c>
      <c r="B7" s="11" t="s">
        <v>2321</v>
      </c>
    </row>
    <row r="8" spans="1:2" ht="15.75" thickBot="1" x14ac:dyDescent="0.3">
      <c r="A8" s="5" t="s">
        <v>193</v>
      </c>
      <c r="B8" s="11" t="s">
        <v>2322</v>
      </c>
    </row>
    <row r="9" spans="1:2" ht="15.75" thickBot="1" x14ac:dyDescent="0.3">
      <c r="A9" s="5" t="s">
        <v>204</v>
      </c>
      <c r="B9" s="11" t="s">
        <v>2323</v>
      </c>
    </row>
    <row r="10" spans="1:2" ht="15.75" thickBot="1" x14ac:dyDescent="0.3">
      <c r="A10" s="6" t="s">
        <v>215</v>
      </c>
      <c r="B10" s="12" t="s">
        <v>2324</v>
      </c>
    </row>
    <row r="11" spans="1:2" ht="15.75" thickTop="1" x14ac:dyDescent="0.25"/>
    <row r="12" spans="1:2" ht="18.75" x14ac:dyDescent="0.25">
      <c r="A12" s="7" t="s">
        <v>2325</v>
      </c>
    </row>
    <row r="13" spans="1:2" ht="15.75" thickBot="1" x14ac:dyDescent="0.3"/>
    <row r="14" spans="1:2" ht="16.5" thickTop="1" thickBot="1" x14ac:dyDescent="0.3">
      <c r="A14" s="8" t="s">
        <v>2199</v>
      </c>
      <c r="B14" s="10" t="s">
        <v>2200</v>
      </c>
    </row>
    <row r="15" spans="1:2" ht="15.75" thickBot="1" x14ac:dyDescent="0.3">
      <c r="A15" s="5" t="s">
        <v>105</v>
      </c>
      <c r="B15" s="11" t="s">
        <v>2326</v>
      </c>
    </row>
    <row r="16" spans="1:2" ht="15.75" thickBot="1" x14ac:dyDescent="0.3">
      <c r="A16" s="5" t="s">
        <v>233</v>
      </c>
      <c r="B16" s="11" t="s">
        <v>2327</v>
      </c>
    </row>
    <row r="17" spans="1:2" ht="15.75" thickBot="1" x14ac:dyDescent="0.3">
      <c r="A17" s="5" t="s">
        <v>241</v>
      </c>
      <c r="B17" s="11" t="s">
        <v>2328</v>
      </c>
    </row>
    <row r="18" spans="1:2" ht="15.75" thickBot="1" x14ac:dyDescent="0.3">
      <c r="A18" s="5" t="s">
        <v>248</v>
      </c>
      <c r="B18" s="11" t="s">
        <v>2329</v>
      </c>
    </row>
    <row r="19" spans="1:2" ht="15.75" thickBot="1" x14ac:dyDescent="0.3">
      <c r="A19" s="5" t="s">
        <v>257</v>
      </c>
      <c r="B19" s="11" t="s">
        <v>2330</v>
      </c>
    </row>
    <row r="20" spans="1:2" ht="15.75" thickBot="1" x14ac:dyDescent="0.3">
      <c r="A20" s="5" t="s">
        <v>264</v>
      </c>
      <c r="B20" s="11" t="s">
        <v>2331</v>
      </c>
    </row>
    <row r="21" spans="1:2" ht="15.75" thickBot="1" x14ac:dyDescent="0.3">
      <c r="A21" s="5" t="s">
        <v>272</v>
      </c>
      <c r="B21" s="11" t="s">
        <v>2332</v>
      </c>
    </row>
    <row r="22" spans="1:2" ht="15.75" thickBot="1" x14ac:dyDescent="0.3">
      <c r="A22" s="5" t="s">
        <v>280</v>
      </c>
      <c r="B22" s="11" t="s">
        <v>2333</v>
      </c>
    </row>
    <row r="23" spans="1:2" ht="15.75" thickBot="1" x14ac:dyDescent="0.3">
      <c r="A23" s="5" t="s">
        <v>286</v>
      </c>
      <c r="B23" s="11" t="s">
        <v>2334</v>
      </c>
    </row>
    <row r="24" spans="1:2" ht="15.75" thickBot="1" x14ac:dyDescent="0.3">
      <c r="A24" s="5" t="s">
        <v>293</v>
      </c>
      <c r="B24" s="11" t="s">
        <v>2335</v>
      </c>
    </row>
    <row r="25" spans="1:2" ht="15.75" thickBot="1" x14ac:dyDescent="0.3">
      <c r="A25" s="5" t="s">
        <v>300</v>
      </c>
      <c r="B25" s="11" t="s">
        <v>2336</v>
      </c>
    </row>
    <row r="26" spans="1:2" ht="15.75" thickBot="1" x14ac:dyDescent="0.3">
      <c r="A26" s="5" t="s">
        <v>307</v>
      </c>
      <c r="B26" s="11" t="s">
        <v>2337</v>
      </c>
    </row>
    <row r="27" spans="1:2" ht="15.75" thickBot="1" x14ac:dyDescent="0.3">
      <c r="A27" s="6" t="s">
        <v>314</v>
      </c>
      <c r="B27" s="12" t="s">
        <v>2338</v>
      </c>
    </row>
    <row r="28" spans="1:2" ht="15.75" thickTop="1" x14ac:dyDescent="0.25"/>
    <row r="29" spans="1:2" ht="18.75" x14ac:dyDescent="0.25">
      <c r="A29" s="7" t="s">
        <v>2339</v>
      </c>
    </row>
    <row r="30" spans="1:2" ht="15.75" thickBot="1" x14ac:dyDescent="0.3"/>
    <row r="31" spans="1:2" ht="16.5" thickTop="1" thickBot="1" x14ac:dyDescent="0.3">
      <c r="A31" s="8" t="s">
        <v>2199</v>
      </c>
      <c r="B31" s="10" t="s">
        <v>2200</v>
      </c>
    </row>
    <row r="32" spans="1:2" ht="15.75" thickBot="1" x14ac:dyDescent="0.3">
      <c r="A32" s="5" t="s">
        <v>321</v>
      </c>
      <c r="B32" s="11" t="s">
        <v>2340</v>
      </c>
    </row>
    <row r="33" spans="1:2" ht="15.75" thickBot="1" x14ac:dyDescent="0.3">
      <c r="A33" s="5" t="s">
        <v>328</v>
      </c>
      <c r="B33" s="11" t="s">
        <v>2341</v>
      </c>
    </row>
    <row r="34" spans="1:2" ht="15.75" thickBot="1" x14ac:dyDescent="0.3">
      <c r="A34" s="5" t="s">
        <v>335</v>
      </c>
      <c r="B34" s="11" t="s">
        <v>2342</v>
      </c>
    </row>
    <row r="35" spans="1:2" ht="15.75" thickBot="1" x14ac:dyDescent="0.3">
      <c r="A35" s="5" t="s">
        <v>341</v>
      </c>
      <c r="B35" s="11" t="s">
        <v>2343</v>
      </c>
    </row>
    <row r="36" spans="1:2" ht="15.75" thickBot="1" x14ac:dyDescent="0.3">
      <c r="A36" s="5" t="s">
        <v>348</v>
      </c>
      <c r="B36" s="11" t="s">
        <v>2344</v>
      </c>
    </row>
    <row r="37" spans="1:2" ht="15.75" thickBot="1" x14ac:dyDescent="0.3">
      <c r="A37" s="6" t="s">
        <v>353</v>
      </c>
      <c r="B37" s="12" t="s">
        <v>2345</v>
      </c>
    </row>
    <row r="38" spans="1:2" ht="15.75" thickTop="1" x14ac:dyDescent="0.25"/>
    <row r="39" spans="1:2" ht="18.75" x14ac:dyDescent="0.25">
      <c r="A39" s="7" t="s">
        <v>2346</v>
      </c>
    </row>
    <row r="40" spans="1:2" ht="15.75" thickBot="1" x14ac:dyDescent="0.3"/>
    <row r="41" spans="1:2" ht="16.5" thickTop="1" thickBot="1" x14ac:dyDescent="0.3">
      <c r="A41" s="8" t="s">
        <v>2199</v>
      </c>
      <c r="B41" s="10" t="s">
        <v>2200</v>
      </c>
    </row>
    <row r="42" spans="1:2" ht="15.75" thickBot="1" x14ac:dyDescent="0.3">
      <c r="A42" s="6" t="s">
        <v>359</v>
      </c>
      <c r="B42" s="12" t="s">
        <v>2347</v>
      </c>
    </row>
    <row r="43" spans="1:2" ht="15.75" thickTop="1" x14ac:dyDescent="0.25">
      <c r="A43" s="9"/>
    </row>
    <row r="44" spans="1:2" x14ac:dyDescent="0.25">
      <c r="A44" s="9"/>
    </row>
    <row r="46" spans="1:2" ht="21" x14ac:dyDescent="0.25">
      <c r="A46" s="15" t="s">
        <v>2348</v>
      </c>
    </row>
    <row r="48" spans="1:2" ht="18.75" x14ac:dyDescent="0.25">
      <c r="A48" s="7" t="s">
        <v>2325</v>
      </c>
    </row>
    <row r="49" spans="1:2" ht="15.75" thickBot="1" x14ac:dyDescent="0.3"/>
    <row r="50" spans="1:2" ht="16.5" thickTop="1" thickBot="1" x14ac:dyDescent="0.3">
      <c r="A50" s="8" t="s">
        <v>2199</v>
      </c>
      <c r="B50" s="10" t="s">
        <v>2200</v>
      </c>
    </row>
    <row r="51" spans="1:2" ht="15.75" thickBot="1" x14ac:dyDescent="0.3">
      <c r="A51" s="5" t="s">
        <v>2349</v>
      </c>
      <c r="B51" s="11" t="s">
        <v>2350</v>
      </c>
    </row>
    <row r="52" spans="1:2" ht="15.75" thickBot="1" x14ac:dyDescent="0.3">
      <c r="A52" s="5" t="s">
        <v>2351</v>
      </c>
      <c r="B52" s="11" t="s">
        <v>2352</v>
      </c>
    </row>
    <row r="53" spans="1:2" ht="15.75" thickBot="1" x14ac:dyDescent="0.3">
      <c r="A53" s="5" t="s">
        <v>2353</v>
      </c>
      <c r="B53" s="11" t="s">
        <v>2354</v>
      </c>
    </row>
    <row r="54" spans="1:2" ht="15.75" thickBot="1" x14ac:dyDescent="0.3">
      <c r="A54" s="5" t="s">
        <v>2355</v>
      </c>
      <c r="B54" s="11" t="s">
        <v>2356</v>
      </c>
    </row>
    <row r="55" spans="1:2" ht="15.75" thickBot="1" x14ac:dyDescent="0.3">
      <c r="A55" s="5" t="s">
        <v>2357</v>
      </c>
      <c r="B55" s="11" t="s">
        <v>2358</v>
      </c>
    </row>
    <row r="56" spans="1:2" ht="15.75" thickBot="1" x14ac:dyDescent="0.3">
      <c r="A56" s="5" t="s">
        <v>2359</v>
      </c>
      <c r="B56" s="11" t="s">
        <v>2360</v>
      </c>
    </row>
    <row r="57" spans="1:2" ht="15.75" thickBot="1" x14ac:dyDescent="0.3">
      <c r="A57" s="5" t="s">
        <v>2361</v>
      </c>
      <c r="B57" s="11" t="s">
        <v>2362</v>
      </c>
    </row>
    <row r="58" spans="1:2" ht="15.75" thickBot="1" x14ac:dyDescent="0.3">
      <c r="A58" s="5" t="s">
        <v>2363</v>
      </c>
      <c r="B58" s="11" t="s">
        <v>2364</v>
      </c>
    </row>
    <row r="59" spans="1:2" ht="15.75" thickBot="1" x14ac:dyDescent="0.3">
      <c r="A59" s="5" t="s">
        <v>2365</v>
      </c>
      <c r="B59" s="11" t="s">
        <v>2366</v>
      </c>
    </row>
    <row r="60" spans="1:2" ht="15.75" thickBot="1" x14ac:dyDescent="0.3">
      <c r="A60" s="5" t="s">
        <v>2367</v>
      </c>
      <c r="B60" s="11" t="s">
        <v>2368</v>
      </c>
    </row>
    <row r="61" spans="1:2" ht="15.75" thickBot="1" x14ac:dyDescent="0.3">
      <c r="A61" s="5" t="s">
        <v>2369</v>
      </c>
      <c r="B61" s="11" t="s">
        <v>2370</v>
      </c>
    </row>
    <row r="62" spans="1:2" ht="15.75" thickBot="1" x14ac:dyDescent="0.3">
      <c r="A62" s="5" t="s">
        <v>2371</v>
      </c>
      <c r="B62" s="11" t="s">
        <v>2372</v>
      </c>
    </row>
    <row r="63" spans="1:2" ht="15.75" thickBot="1" x14ac:dyDescent="0.3">
      <c r="A63" s="6" t="s">
        <v>2373</v>
      </c>
      <c r="B63" s="12" t="s">
        <v>2374</v>
      </c>
    </row>
    <row r="64" spans="1:2" ht="15.75" thickTop="1" x14ac:dyDescent="0.25"/>
    <row r="65" spans="1:2" ht="18.75" x14ac:dyDescent="0.25">
      <c r="A65" s="7" t="s">
        <v>2339</v>
      </c>
    </row>
    <row r="66" spans="1:2" ht="15.75" thickBot="1" x14ac:dyDescent="0.3"/>
    <row r="67" spans="1:2" ht="16.5" thickTop="1" thickBot="1" x14ac:dyDescent="0.3">
      <c r="A67" s="8" t="s">
        <v>2199</v>
      </c>
      <c r="B67" s="10" t="s">
        <v>2200</v>
      </c>
    </row>
    <row r="68" spans="1:2" ht="15.75" thickBot="1" x14ac:dyDescent="0.3">
      <c r="A68" s="5" t="s">
        <v>2375</v>
      </c>
      <c r="B68" s="11" t="s">
        <v>2376</v>
      </c>
    </row>
    <row r="69" spans="1:2" ht="15.75" thickBot="1" x14ac:dyDescent="0.3">
      <c r="A69" s="6" t="s">
        <v>2377</v>
      </c>
      <c r="B69" s="12" t="s">
        <v>2378</v>
      </c>
    </row>
    <row r="70" spans="1:2" ht="15.75" thickTop="1" x14ac:dyDescent="0.25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0E60B-1349-4C09-9DB3-5E4A4187B51C}">
  <dimension ref="A1:B862"/>
  <sheetViews>
    <sheetView topLeftCell="A243" workbookViewId="0">
      <selection activeCell="A261" sqref="A261"/>
    </sheetView>
  </sheetViews>
  <sheetFormatPr defaultRowHeight="15" x14ac:dyDescent="0.25"/>
  <cols>
    <col min="1" max="1" width="8.7109375" bestFit="1" customWidth="1"/>
    <col min="2" max="2" width="94.7109375" bestFit="1" customWidth="1"/>
  </cols>
  <sheetData>
    <row r="1" spans="1:2" ht="24" x14ac:dyDescent="0.4">
      <c r="A1" s="16" t="s">
        <v>2379</v>
      </c>
    </row>
    <row r="2" spans="1:2" x14ac:dyDescent="0.25">
      <c r="A2" t="s">
        <v>148</v>
      </c>
      <c r="B2" t="s">
        <v>2380</v>
      </c>
    </row>
    <row r="3" spans="1:2" x14ac:dyDescent="0.25">
      <c r="A3" t="s">
        <v>159</v>
      </c>
      <c r="B3" t="s">
        <v>2381</v>
      </c>
    </row>
    <row r="4" spans="1:2" x14ac:dyDescent="0.25">
      <c r="A4" t="s">
        <v>169</v>
      </c>
      <c r="B4" t="s">
        <v>2382</v>
      </c>
    </row>
    <row r="5" spans="1:2" x14ac:dyDescent="0.25">
      <c r="A5" t="s">
        <v>181</v>
      </c>
      <c r="B5" t="s">
        <v>2383</v>
      </c>
    </row>
    <row r="6" spans="1:2" x14ac:dyDescent="0.25">
      <c r="A6" t="s">
        <v>194</v>
      </c>
      <c r="B6" t="s">
        <v>2384</v>
      </c>
    </row>
    <row r="7" spans="1:2" x14ac:dyDescent="0.25">
      <c r="A7" t="s">
        <v>205</v>
      </c>
      <c r="B7" t="s">
        <v>2385</v>
      </c>
    </row>
    <row r="8" spans="1:2" x14ac:dyDescent="0.25">
      <c r="A8" t="s">
        <v>216</v>
      </c>
      <c r="B8" t="s">
        <v>2386</v>
      </c>
    </row>
    <row r="9" spans="1:2" x14ac:dyDescent="0.25">
      <c r="A9" t="s">
        <v>225</v>
      </c>
      <c r="B9" t="s">
        <v>2387</v>
      </c>
    </row>
    <row r="10" spans="1:2" x14ac:dyDescent="0.25">
      <c r="A10" t="s">
        <v>234</v>
      </c>
      <c r="B10" t="s">
        <v>2388</v>
      </c>
    </row>
    <row r="11" spans="1:2" x14ac:dyDescent="0.25">
      <c r="A11" t="s">
        <v>242</v>
      </c>
      <c r="B11" t="s">
        <v>2389</v>
      </c>
    </row>
    <row r="12" spans="1:2" x14ac:dyDescent="0.25">
      <c r="A12" t="s">
        <v>249</v>
      </c>
      <c r="B12" t="s">
        <v>2390</v>
      </c>
    </row>
    <row r="13" spans="1:2" x14ac:dyDescent="0.25">
      <c r="A13" t="s">
        <v>258</v>
      </c>
      <c r="B13" t="s">
        <v>2391</v>
      </c>
    </row>
    <row r="14" spans="1:2" x14ac:dyDescent="0.25">
      <c r="A14" t="s">
        <v>265</v>
      </c>
      <c r="B14" t="s">
        <v>2392</v>
      </c>
    </row>
    <row r="15" spans="1:2" x14ac:dyDescent="0.25">
      <c r="A15" t="s">
        <v>273</v>
      </c>
      <c r="B15" t="s">
        <v>2393</v>
      </c>
    </row>
    <row r="16" spans="1:2" x14ac:dyDescent="0.25">
      <c r="A16" t="s">
        <v>281</v>
      </c>
      <c r="B16" t="s">
        <v>2394</v>
      </c>
    </row>
    <row r="17" spans="1:2" x14ac:dyDescent="0.25">
      <c r="A17" t="s">
        <v>287</v>
      </c>
      <c r="B17" t="s">
        <v>2395</v>
      </c>
    </row>
    <row r="18" spans="1:2" x14ac:dyDescent="0.25">
      <c r="A18" t="s">
        <v>294</v>
      </c>
      <c r="B18" t="s">
        <v>2396</v>
      </c>
    </row>
    <row r="19" spans="1:2" x14ac:dyDescent="0.25">
      <c r="A19" t="s">
        <v>301</v>
      </c>
      <c r="B19" t="s">
        <v>2389</v>
      </c>
    </row>
    <row r="20" spans="1:2" x14ac:dyDescent="0.25">
      <c r="A20" t="s">
        <v>308</v>
      </c>
      <c r="B20" t="s">
        <v>2397</v>
      </c>
    </row>
    <row r="21" spans="1:2" x14ac:dyDescent="0.25">
      <c r="A21" t="s">
        <v>315</v>
      </c>
      <c r="B21" t="s">
        <v>2398</v>
      </c>
    </row>
    <row r="22" spans="1:2" x14ac:dyDescent="0.25">
      <c r="A22" t="s">
        <v>322</v>
      </c>
      <c r="B22" t="s">
        <v>2399</v>
      </c>
    </row>
    <row r="23" spans="1:2" x14ac:dyDescent="0.25">
      <c r="A23" t="s">
        <v>329</v>
      </c>
      <c r="B23" t="s">
        <v>2400</v>
      </c>
    </row>
    <row r="24" spans="1:2" x14ac:dyDescent="0.25">
      <c r="A24" t="s">
        <v>336</v>
      </c>
      <c r="B24" t="s">
        <v>2401</v>
      </c>
    </row>
    <row r="25" spans="1:2" x14ac:dyDescent="0.25">
      <c r="A25" t="s">
        <v>342</v>
      </c>
      <c r="B25" t="s">
        <v>2389</v>
      </c>
    </row>
    <row r="26" spans="1:2" ht="24" x14ac:dyDescent="0.4">
      <c r="A26" s="16" t="s">
        <v>2402</v>
      </c>
    </row>
    <row r="27" spans="1:2" x14ac:dyDescent="0.25">
      <c r="A27" t="s">
        <v>349</v>
      </c>
      <c r="B27" t="s">
        <v>2403</v>
      </c>
    </row>
    <row r="28" spans="1:2" x14ac:dyDescent="0.25">
      <c r="A28" t="s">
        <v>354</v>
      </c>
      <c r="B28" t="s">
        <v>2404</v>
      </c>
    </row>
    <row r="29" spans="1:2" x14ac:dyDescent="0.25">
      <c r="A29" t="s">
        <v>360</v>
      </c>
      <c r="B29" t="s">
        <v>2405</v>
      </c>
    </row>
    <row r="30" spans="1:2" x14ac:dyDescent="0.25">
      <c r="A30" t="s">
        <v>366</v>
      </c>
      <c r="B30" t="s">
        <v>2406</v>
      </c>
    </row>
    <row r="31" spans="1:2" x14ac:dyDescent="0.25">
      <c r="A31" t="s">
        <v>371</v>
      </c>
      <c r="B31" t="s">
        <v>2407</v>
      </c>
    </row>
    <row r="32" spans="1:2" x14ac:dyDescent="0.25">
      <c r="A32" t="s">
        <v>376</v>
      </c>
      <c r="B32" t="s">
        <v>2408</v>
      </c>
    </row>
    <row r="33" spans="1:2" x14ac:dyDescent="0.25">
      <c r="A33" t="s">
        <v>381</v>
      </c>
      <c r="B33" t="s">
        <v>2409</v>
      </c>
    </row>
    <row r="34" spans="1:2" x14ac:dyDescent="0.25">
      <c r="A34" t="s">
        <v>386</v>
      </c>
      <c r="B34" t="s">
        <v>2410</v>
      </c>
    </row>
    <row r="35" spans="1:2" x14ac:dyDescent="0.25">
      <c r="A35" t="s">
        <v>391</v>
      </c>
      <c r="B35" t="s">
        <v>2411</v>
      </c>
    </row>
    <row r="36" spans="1:2" x14ac:dyDescent="0.25">
      <c r="A36" t="s">
        <v>396</v>
      </c>
      <c r="B36" t="s">
        <v>2389</v>
      </c>
    </row>
    <row r="37" spans="1:2" x14ac:dyDescent="0.25">
      <c r="A37" t="s">
        <v>401</v>
      </c>
      <c r="B37" t="s">
        <v>2403</v>
      </c>
    </row>
    <row r="38" spans="1:2" x14ac:dyDescent="0.25">
      <c r="A38" t="s">
        <v>406</v>
      </c>
      <c r="B38" t="s">
        <v>2404</v>
      </c>
    </row>
    <row r="39" spans="1:2" x14ac:dyDescent="0.25">
      <c r="A39" t="s">
        <v>411</v>
      </c>
      <c r="B39" t="s">
        <v>2412</v>
      </c>
    </row>
    <row r="40" spans="1:2" x14ac:dyDescent="0.25">
      <c r="A40" t="s">
        <v>416</v>
      </c>
      <c r="B40" t="s">
        <v>2413</v>
      </c>
    </row>
    <row r="41" spans="1:2" x14ac:dyDescent="0.25">
      <c r="A41" t="s">
        <v>421</v>
      </c>
      <c r="B41" t="s">
        <v>2389</v>
      </c>
    </row>
    <row r="42" spans="1:2" x14ac:dyDescent="0.25">
      <c r="A42" t="s">
        <v>426</v>
      </c>
      <c r="B42" t="s">
        <v>2414</v>
      </c>
    </row>
    <row r="43" spans="1:2" x14ac:dyDescent="0.25">
      <c r="A43" t="s">
        <v>431</v>
      </c>
      <c r="B43" t="s">
        <v>2415</v>
      </c>
    </row>
    <row r="44" spans="1:2" x14ac:dyDescent="0.25">
      <c r="A44" t="s">
        <v>435</v>
      </c>
      <c r="B44" t="s">
        <v>2416</v>
      </c>
    </row>
    <row r="45" spans="1:2" x14ac:dyDescent="0.25">
      <c r="A45" t="s">
        <v>440</v>
      </c>
      <c r="B45" t="s">
        <v>2412</v>
      </c>
    </row>
    <row r="46" spans="1:2" x14ac:dyDescent="0.25">
      <c r="A46" t="s">
        <v>445</v>
      </c>
      <c r="B46" t="s">
        <v>2413</v>
      </c>
    </row>
    <row r="47" spans="1:2" x14ac:dyDescent="0.25">
      <c r="A47" t="s">
        <v>450</v>
      </c>
      <c r="B47" t="s">
        <v>2389</v>
      </c>
    </row>
    <row r="48" spans="1:2" x14ac:dyDescent="0.25">
      <c r="A48" t="s">
        <v>455</v>
      </c>
      <c r="B48" t="s">
        <v>2417</v>
      </c>
    </row>
    <row r="49" spans="1:2" x14ac:dyDescent="0.25">
      <c r="A49" t="s">
        <v>460</v>
      </c>
      <c r="B49" t="s">
        <v>2418</v>
      </c>
    </row>
    <row r="50" spans="1:2" x14ac:dyDescent="0.25">
      <c r="A50" t="s">
        <v>465</v>
      </c>
      <c r="B50" t="s">
        <v>2413</v>
      </c>
    </row>
    <row r="51" spans="1:2" x14ac:dyDescent="0.25">
      <c r="A51" t="s">
        <v>470</v>
      </c>
      <c r="B51" t="s">
        <v>2389</v>
      </c>
    </row>
    <row r="52" spans="1:2" x14ac:dyDescent="0.25">
      <c r="A52" t="s">
        <v>475</v>
      </c>
      <c r="B52" t="s">
        <v>2412</v>
      </c>
    </row>
    <row r="53" spans="1:2" x14ac:dyDescent="0.25">
      <c r="A53" t="s">
        <v>477</v>
      </c>
      <c r="B53" t="s">
        <v>2413</v>
      </c>
    </row>
    <row r="54" spans="1:2" x14ac:dyDescent="0.25">
      <c r="A54" t="s">
        <v>479</v>
      </c>
      <c r="B54" t="s">
        <v>2389</v>
      </c>
    </row>
    <row r="55" spans="1:2" x14ac:dyDescent="0.25">
      <c r="A55" t="s">
        <v>480</v>
      </c>
      <c r="B55" t="s">
        <v>2412</v>
      </c>
    </row>
    <row r="56" spans="1:2" x14ac:dyDescent="0.25">
      <c r="A56" t="s">
        <v>481</v>
      </c>
      <c r="B56" t="s">
        <v>2415</v>
      </c>
    </row>
    <row r="57" spans="1:2" x14ac:dyDescent="0.25">
      <c r="A57" t="s">
        <v>482</v>
      </c>
      <c r="B57" t="s">
        <v>2413</v>
      </c>
    </row>
    <row r="58" spans="1:2" x14ac:dyDescent="0.25">
      <c r="A58" t="s">
        <v>483</v>
      </c>
      <c r="B58" t="s">
        <v>2389</v>
      </c>
    </row>
    <row r="59" spans="1:2" x14ac:dyDescent="0.25">
      <c r="A59" t="s">
        <v>484</v>
      </c>
      <c r="B59" t="s">
        <v>2419</v>
      </c>
    </row>
    <row r="60" spans="1:2" x14ac:dyDescent="0.25">
      <c r="A60" t="s">
        <v>485</v>
      </c>
      <c r="B60" t="s">
        <v>2420</v>
      </c>
    </row>
    <row r="61" spans="1:2" x14ac:dyDescent="0.25">
      <c r="A61" t="s">
        <v>486</v>
      </c>
      <c r="B61" t="s">
        <v>2421</v>
      </c>
    </row>
    <row r="62" spans="1:2" x14ac:dyDescent="0.25">
      <c r="A62" t="s">
        <v>487</v>
      </c>
      <c r="B62" t="s">
        <v>2412</v>
      </c>
    </row>
    <row r="63" spans="1:2" x14ac:dyDescent="0.25">
      <c r="A63" t="s">
        <v>488</v>
      </c>
      <c r="B63" t="s">
        <v>2413</v>
      </c>
    </row>
    <row r="64" spans="1:2" x14ac:dyDescent="0.25">
      <c r="A64" t="s">
        <v>489</v>
      </c>
      <c r="B64" t="s">
        <v>2389</v>
      </c>
    </row>
    <row r="65" spans="1:2" ht="24" x14ac:dyDescent="0.4">
      <c r="A65" s="16" t="s">
        <v>2422</v>
      </c>
    </row>
    <row r="66" spans="1:2" x14ac:dyDescent="0.25">
      <c r="A66" t="s">
        <v>490</v>
      </c>
      <c r="B66" t="s">
        <v>2423</v>
      </c>
    </row>
    <row r="67" spans="1:2" x14ac:dyDescent="0.25">
      <c r="A67" t="s">
        <v>491</v>
      </c>
      <c r="B67" t="s">
        <v>2424</v>
      </c>
    </row>
    <row r="68" spans="1:2" x14ac:dyDescent="0.25">
      <c r="A68" t="s">
        <v>492</v>
      </c>
      <c r="B68" t="s">
        <v>2425</v>
      </c>
    </row>
    <row r="69" spans="1:2" x14ac:dyDescent="0.25">
      <c r="A69" t="s">
        <v>493</v>
      </c>
      <c r="B69" t="s">
        <v>2389</v>
      </c>
    </row>
    <row r="70" spans="1:2" x14ac:dyDescent="0.25">
      <c r="A70" t="s">
        <v>494</v>
      </c>
      <c r="B70" t="s">
        <v>2426</v>
      </c>
    </row>
    <row r="71" spans="1:2" x14ac:dyDescent="0.25">
      <c r="A71" t="s">
        <v>495</v>
      </c>
      <c r="B71" t="s">
        <v>2427</v>
      </c>
    </row>
    <row r="72" spans="1:2" x14ac:dyDescent="0.25">
      <c r="A72" t="s">
        <v>496</v>
      </c>
      <c r="B72" t="s">
        <v>2428</v>
      </c>
    </row>
    <row r="73" spans="1:2" x14ac:dyDescent="0.25">
      <c r="A73" t="s">
        <v>497</v>
      </c>
      <c r="B73" t="s">
        <v>2429</v>
      </c>
    </row>
    <row r="74" spans="1:2" x14ac:dyDescent="0.25">
      <c r="A74" t="s">
        <v>498</v>
      </c>
      <c r="B74" t="s">
        <v>2430</v>
      </c>
    </row>
    <row r="75" spans="1:2" x14ac:dyDescent="0.25">
      <c r="A75" t="s">
        <v>499</v>
      </c>
      <c r="B75" t="s">
        <v>2431</v>
      </c>
    </row>
    <row r="76" spans="1:2" x14ac:dyDescent="0.25">
      <c r="A76" t="s">
        <v>500</v>
      </c>
      <c r="B76" t="s">
        <v>2432</v>
      </c>
    </row>
    <row r="77" spans="1:2" x14ac:dyDescent="0.25">
      <c r="A77" t="s">
        <v>501</v>
      </c>
      <c r="B77" t="s">
        <v>2433</v>
      </c>
    </row>
    <row r="78" spans="1:2" x14ac:dyDescent="0.25">
      <c r="A78" t="s">
        <v>502</v>
      </c>
      <c r="B78" t="s">
        <v>2434</v>
      </c>
    </row>
    <row r="79" spans="1:2" x14ac:dyDescent="0.25">
      <c r="A79" t="s">
        <v>503</v>
      </c>
      <c r="B79" t="s">
        <v>2435</v>
      </c>
    </row>
    <row r="80" spans="1:2" x14ac:dyDescent="0.25">
      <c r="A80" t="s">
        <v>504</v>
      </c>
      <c r="B80" t="s">
        <v>2436</v>
      </c>
    </row>
    <row r="81" spans="1:2" x14ac:dyDescent="0.25">
      <c r="A81" t="s">
        <v>505</v>
      </c>
      <c r="B81" t="s">
        <v>2437</v>
      </c>
    </row>
    <row r="82" spans="1:2" x14ac:dyDescent="0.25">
      <c r="A82" t="s">
        <v>506</v>
      </c>
      <c r="B82" t="s">
        <v>2438</v>
      </c>
    </row>
    <row r="83" spans="1:2" x14ac:dyDescent="0.25">
      <c r="A83" t="s">
        <v>507</v>
      </c>
      <c r="B83" t="s">
        <v>2439</v>
      </c>
    </row>
    <row r="84" spans="1:2" x14ac:dyDescent="0.25">
      <c r="A84" t="s">
        <v>508</v>
      </c>
      <c r="B84" t="s">
        <v>2389</v>
      </c>
    </row>
    <row r="85" spans="1:2" ht="24" x14ac:dyDescent="0.4">
      <c r="A85" s="16" t="s">
        <v>2440</v>
      </c>
    </row>
    <row r="86" spans="1:2" x14ac:dyDescent="0.25">
      <c r="A86" t="s">
        <v>509</v>
      </c>
      <c r="B86" t="s">
        <v>2441</v>
      </c>
    </row>
    <row r="87" spans="1:2" x14ac:dyDescent="0.25">
      <c r="A87" t="s">
        <v>510</v>
      </c>
      <c r="B87" t="s">
        <v>2442</v>
      </c>
    </row>
    <row r="88" spans="1:2" x14ac:dyDescent="0.25">
      <c r="A88" t="s">
        <v>511</v>
      </c>
      <c r="B88" t="s">
        <v>2443</v>
      </c>
    </row>
    <row r="89" spans="1:2" x14ac:dyDescent="0.25">
      <c r="A89" t="s">
        <v>512</v>
      </c>
      <c r="B89" t="s">
        <v>2444</v>
      </c>
    </row>
    <row r="90" spans="1:2" x14ac:dyDescent="0.25">
      <c r="A90" t="s">
        <v>513</v>
      </c>
      <c r="B90" t="s">
        <v>2445</v>
      </c>
    </row>
    <row r="91" spans="1:2" x14ac:dyDescent="0.25">
      <c r="A91" t="s">
        <v>514</v>
      </c>
      <c r="B91" t="s">
        <v>2446</v>
      </c>
    </row>
    <row r="92" spans="1:2" x14ac:dyDescent="0.25">
      <c r="A92" t="s">
        <v>515</v>
      </c>
      <c r="B92" t="s">
        <v>2447</v>
      </c>
    </row>
    <row r="93" spans="1:2" x14ac:dyDescent="0.25">
      <c r="A93" t="s">
        <v>516</v>
      </c>
      <c r="B93" t="s">
        <v>2448</v>
      </c>
    </row>
    <row r="94" spans="1:2" x14ac:dyDescent="0.25">
      <c r="A94" t="s">
        <v>517</v>
      </c>
      <c r="B94" t="s">
        <v>2449</v>
      </c>
    </row>
    <row r="95" spans="1:2" x14ac:dyDescent="0.25">
      <c r="A95" t="s">
        <v>518</v>
      </c>
      <c r="B95" t="s">
        <v>2450</v>
      </c>
    </row>
    <row r="96" spans="1:2" x14ac:dyDescent="0.25">
      <c r="A96" t="s">
        <v>519</v>
      </c>
      <c r="B96" t="s">
        <v>2451</v>
      </c>
    </row>
    <row r="97" spans="1:2" x14ac:dyDescent="0.25">
      <c r="A97" t="s">
        <v>520</v>
      </c>
      <c r="B97" t="s">
        <v>2452</v>
      </c>
    </row>
    <row r="98" spans="1:2" x14ac:dyDescent="0.25">
      <c r="A98" t="s">
        <v>521</v>
      </c>
      <c r="B98" t="s">
        <v>2453</v>
      </c>
    </row>
    <row r="99" spans="1:2" x14ac:dyDescent="0.25">
      <c r="A99" t="s">
        <v>522</v>
      </c>
      <c r="B99" t="s">
        <v>2454</v>
      </c>
    </row>
    <row r="100" spans="1:2" x14ac:dyDescent="0.25">
      <c r="A100" t="s">
        <v>523</v>
      </c>
      <c r="B100" t="s">
        <v>2455</v>
      </c>
    </row>
    <row r="101" spans="1:2" x14ac:dyDescent="0.25">
      <c r="A101" t="s">
        <v>524</v>
      </c>
      <c r="B101" t="s">
        <v>2456</v>
      </c>
    </row>
    <row r="102" spans="1:2" x14ac:dyDescent="0.25">
      <c r="A102" t="s">
        <v>525</v>
      </c>
      <c r="B102" t="s">
        <v>2457</v>
      </c>
    </row>
    <row r="103" spans="1:2" x14ac:dyDescent="0.25">
      <c r="A103" t="s">
        <v>526</v>
      </c>
      <c r="B103" t="s">
        <v>2458</v>
      </c>
    </row>
    <row r="104" spans="1:2" x14ac:dyDescent="0.25">
      <c r="A104" t="s">
        <v>527</v>
      </c>
      <c r="B104" t="s">
        <v>2459</v>
      </c>
    </row>
    <row r="105" spans="1:2" x14ac:dyDescent="0.25">
      <c r="A105" t="s">
        <v>528</v>
      </c>
      <c r="B105" t="s">
        <v>2460</v>
      </c>
    </row>
    <row r="106" spans="1:2" x14ac:dyDescent="0.25">
      <c r="A106" t="s">
        <v>529</v>
      </c>
      <c r="B106" t="s">
        <v>2389</v>
      </c>
    </row>
    <row r="107" spans="1:2" ht="24" x14ac:dyDescent="0.4">
      <c r="A107" s="16" t="s">
        <v>2461</v>
      </c>
    </row>
    <row r="108" spans="1:2" x14ac:dyDescent="0.25">
      <c r="A108" t="s">
        <v>530</v>
      </c>
      <c r="B108" t="s">
        <v>2462</v>
      </c>
    </row>
    <row r="109" spans="1:2" x14ac:dyDescent="0.25">
      <c r="A109" t="s">
        <v>531</v>
      </c>
      <c r="B109" t="s">
        <v>2463</v>
      </c>
    </row>
    <row r="110" spans="1:2" x14ac:dyDescent="0.25">
      <c r="A110" t="s">
        <v>532</v>
      </c>
      <c r="B110" t="s">
        <v>2464</v>
      </c>
    </row>
    <row r="111" spans="1:2" x14ac:dyDescent="0.25">
      <c r="A111" t="s">
        <v>533</v>
      </c>
      <c r="B111" t="s">
        <v>2465</v>
      </c>
    </row>
    <row r="112" spans="1:2" x14ac:dyDescent="0.25">
      <c r="A112" t="s">
        <v>534</v>
      </c>
      <c r="B112" t="s">
        <v>2466</v>
      </c>
    </row>
    <row r="113" spans="1:2" x14ac:dyDescent="0.25">
      <c r="A113" t="s">
        <v>535</v>
      </c>
      <c r="B113" t="s">
        <v>2467</v>
      </c>
    </row>
    <row r="114" spans="1:2" x14ac:dyDescent="0.25">
      <c r="A114" t="s">
        <v>536</v>
      </c>
      <c r="B114" t="s">
        <v>2468</v>
      </c>
    </row>
    <row r="115" spans="1:2" x14ac:dyDescent="0.25">
      <c r="A115" t="s">
        <v>537</v>
      </c>
      <c r="B115" t="s">
        <v>2457</v>
      </c>
    </row>
    <row r="116" spans="1:2" x14ac:dyDescent="0.25">
      <c r="A116" t="s">
        <v>538</v>
      </c>
      <c r="B116" t="s">
        <v>2469</v>
      </c>
    </row>
    <row r="117" spans="1:2" x14ac:dyDescent="0.25">
      <c r="A117" t="s">
        <v>539</v>
      </c>
      <c r="B117" t="s">
        <v>2470</v>
      </c>
    </row>
    <row r="118" spans="1:2" x14ac:dyDescent="0.25">
      <c r="A118" t="s">
        <v>540</v>
      </c>
      <c r="B118" t="s">
        <v>2471</v>
      </c>
    </row>
    <row r="119" spans="1:2" x14ac:dyDescent="0.25">
      <c r="A119" t="s">
        <v>541</v>
      </c>
      <c r="B119" t="s">
        <v>2472</v>
      </c>
    </row>
    <row r="120" spans="1:2" x14ac:dyDescent="0.25">
      <c r="A120" t="s">
        <v>542</v>
      </c>
      <c r="B120" t="s">
        <v>2473</v>
      </c>
    </row>
    <row r="121" spans="1:2" x14ac:dyDescent="0.25">
      <c r="A121" t="s">
        <v>543</v>
      </c>
      <c r="B121" t="s">
        <v>2474</v>
      </c>
    </row>
    <row r="122" spans="1:2" x14ac:dyDescent="0.25">
      <c r="A122" t="s">
        <v>544</v>
      </c>
      <c r="B122" t="s">
        <v>2475</v>
      </c>
    </row>
    <row r="123" spans="1:2" x14ac:dyDescent="0.25">
      <c r="A123" t="s">
        <v>545</v>
      </c>
      <c r="B123" t="s">
        <v>2476</v>
      </c>
    </row>
    <row r="124" spans="1:2" x14ac:dyDescent="0.25">
      <c r="A124" t="s">
        <v>546</v>
      </c>
      <c r="B124" t="s">
        <v>2389</v>
      </c>
    </row>
    <row r="125" spans="1:2" x14ac:dyDescent="0.25">
      <c r="A125" t="s">
        <v>547</v>
      </c>
      <c r="B125" t="s">
        <v>2467</v>
      </c>
    </row>
    <row r="126" spans="1:2" x14ac:dyDescent="0.25">
      <c r="A126" t="s">
        <v>548</v>
      </c>
      <c r="B126" t="s">
        <v>2468</v>
      </c>
    </row>
    <row r="127" spans="1:2" x14ac:dyDescent="0.25">
      <c r="A127" t="s">
        <v>549</v>
      </c>
      <c r="B127" t="s">
        <v>2477</v>
      </c>
    </row>
    <row r="128" spans="1:2" x14ac:dyDescent="0.25">
      <c r="A128" t="s">
        <v>550</v>
      </c>
      <c r="B128" t="s">
        <v>2389</v>
      </c>
    </row>
    <row r="129" spans="1:2" x14ac:dyDescent="0.25">
      <c r="A129" t="s">
        <v>551</v>
      </c>
      <c r="B129" t="s">
        <v>2478</v>
      </c>
    </row>
    <row r="130" spans="1:2" x14ac:dyDescent="0.25">
      <c r="A130" t="s">
        <v>552</v>
      </c>
      <c r="B130" t="s">
        <v>2479</v>
      </c>
    </row>
    <row r="131" spans="1:2" x14ac:dyDescent="0.25">
      <c r="A131" t="s">
        <v>553</v>
      </c>
      <c r="B131" t="s">
        <v>2389</v>
      </c>
    </row>
    <row r="132" spans="1:2" ht="24" x14ac:dyDescent="0.4">
      <c r="A132" s="16" t="s">
        <v>2480</v>
      </c>
    </row>
    <row r="133" spans="1:2" x14ac:dyDescent="0.25">
      <c r="A133" t="s">
        <v>554</v>
      </c>
      <c r="B133" t="s">
        <v>2481</v>
      </c>
    </row>
    <row r="134" spans="1:2" x14ac:dyDescent="0.25">
      <c r="A134" t="s">
        <v>555</v>
      </c>
      <c r="B134" t="s">
        <v>2482</v>
      </c>
    </row>
    <row r="135" spans="1:2" x14ac:dyDescent="0.25">
      <c r="A135" t="s">
        <v>556</v>
      </c>
      <c r="B135" t="s">
        <v>2483</v>
      </c>
    </row>
    <row r="136" spans="1:2" x14ac:dyDescent="0.25">
      <c r="A136" t="s">
        <v>557</v>
      </c>
      <c r="B136" t="s">
        <v>2484</v>
      </c>
    </row>
    <row r="137" spans="1:2" x14ac:dyDescent="0.25">
      <c r="A137" t="s">
        <v>558</v>
      </c>
      <c r="B137" t="s">
        <v>2485</v>
      </c>
    </row>
    <row r="138" spans="1:2" x14ac:dyDescent="0.25">
      <c r="A138" t="s">
        <v>559</v>
      </c>
      <c r="B138" t="s">
        <v>2486</v>
      </c>
    </row>
    <row r="139" spans="1:2" x14ac:dyDescent="0.25">
      <c r="A139" t="s">
        <v>560</v>
      </c>
      <c r="B139" t="s">
        <v>2389</v>
      </c>
    </row>
    <row r="140" spans="1:2" x14ac:dyDescent="0.25">
      <c r="A140" t="s">
        <v>561</v>
      </c>
      <c r="B140" t="s">
        <v>2487</v>
      </c>
    </row>
    <row r="141" spans="1:2" x14ac:dyDescent="0.25">
      <c r="A141" t="s">
        <v>562</v>
      </c>
      <c r="B141" t="s">
        <v>2488</v>
      </c>
    </row>
    <row r="142" spans="1:2" x14ac:dyDescent="0.25">
      <c r="A142" t="s">
        <v>563</v>
      </c>
      <c r="B142" t="s">
        <v>2489</v>
      </c>
    </row>
    <row r="143" spans="1:2" x14ac:dyDescent="0.25">
      <c r="A143" t="s">
        <v>564</v>
      </c>
      <c r="B143" t="s">
        <v>2490</v>
      </c>
    </row>
    <row r="144" spans="1:2" x14ac:dyDescent="0.25">
      <c r="A144" t="s">
        <v>565</v>
      </c>
      <c r="B144" t="s">
        <v>2389</v>
      </c>
    </row>
    <row r="145" spans="1:2" x14ac:dyDescent="0.25">
      <c r="A145" t="s">
        <v>566</v>
      </c>
      <c r="B145" t="s">
        <v>2491</v>
      </c>
    </row>
    <row r="146" spans="1:2" x14ac:dyDescent="0.25">
      <c r="A146" t="s">
        <v>567</v>
      </c>
      <c r="B146" t="s">
        <v>2492</v>
      </c>
    </row>
    <row r="147" spans="1:2" x14ac:dyDescent="0.25">
      <c r="A147" t="s">
        <v>568</v>
      </c>
      <c r="B147" t="s">
        <v>2493</v>
      </c>
    </row>
    <row r="148" spans="1:2" x14ac:dyDescent="0.25">
      <c r="A148" t="s">
        <v>569</v>
      </c>
      <c r="B148" t="s">
        <v>2494</v>
      </c>
    </row>
    <row r="149" spans="1:2" x14ac:dyDescent="0.25">
      <c r="A149" t="s">
        <v>570</v>
      </c>
      <c r="B149" t="s">
        <v>2495</v>
      </c>
    </row>
    <row r="150" spans="1:2" x14ac:dyDescent="0.25">
      <c r="A150" t="s">
        <v>571</v>
      </c>
      <c r="B150" t="s">
        <v>2389</v>
      </c>
    </row>
    <row r="151" spans="1:2" x14ac:dyDescent="0.25">
      <c r="A151" t="s">
        <v>572</v>
      </c>
      <c r="B151" t="s">
        <v>2496</v>
      </c>
    </row>
    <row r="152" spans="1:2" x14ac:dyDescent="0.25">
      <c r="A152" t="s">
        <v>573</v>
      </c>
      <c r="B152" t="s">
        <v>2478</v>
      </c>
    </row>
    <row r="153" spans="1:2" x14ac:dyDescent="0.25">
      <c r="A153" t="s">
        <v>574</v>
      </c>
      <c r="B153" t="s">
        <v>2497</v>
      </c>
    </row>
    <row r="154" spans="1:2" x14ac:dyDescent="0.25">
      <c r="A154" t="s">
        <v>575</v>
      </c>
      <c r="B154" t="s">
        <v>2389</v>
      </c>
    </row>
    <row r="155" spans="1:2" x14ac:dyDescent="0.25">
      <c r="A155" t="s">
        <v>576</v>
      </c>
      <c r="B155" t="s">
        <v>2457</v>
      </c>
    </row>
    <row r="156" spans="1:2" x14ac:dyDescent="0.25">
      <c r="A156" t="s">
        <v>577</v>
      </c>
      <c r="B156" t="s">
        <v>2498</v>
      </c>
    </row>
    <row r="157" spans="1:2" x14ac:dyDescent="0.25">
      <c r="A157" t="s">
        <v>578</v>
      </c>
      <c r="B157" t="s">
        <v>2499</v>
      </c>
    </row>
    <row r="158" spans="1:2" x14ac:dyDescent="0.25">
      <c r="A158" t="s">
        <v>579</v>
      </c>
      <c r="B158" t="s">
        <v>2500</v>
      </c>
    </row>
    <row r="159" spans="1:2" x14ac:dyDescent="0.25">
      <c r="A159" t="s">
        <v>580</v>
      </c>
      <c r="B159" t="s">
        <v>2389</v>
      </c>
    </row>
    <row r="160" spans="1:2" x14ac:dyDescent="0.25">
      <c r="A160" t="s">
        <v>581</v>
      </c>
      <c r="B160" t="s">
        <v>2501</v>
      </c>
    </row>
    <row r="161" spans="1:2" x14ac:dyDescent="0.25">
      <c r="A161" t="s">
        <v>582</v>
      </c>
      <c r="B161" t="s">
        <v>2502</v>
      </c>
    </row>
    <row r="162" spans="1:2" x14ac:dyDescent="0.25">
      <c r="A162" t="s">
        <v>583</v>
      </c>
      <c r="B162" t="s">
        <v>2503</v>
      </c>
    </row>
    <row r="163" spans="1:2" x14ac:dyDescent="0.25">
      <c r="A163" t="s">
        <v>584</v>
      </c>
      <c r="B163" t="s">
        <v>2504</v>
      </c>
    </row>
    <row r="164" spans="1:2" x14ac:dyDescent="0.25">
      <c r="A164" t="s">
        <v>585</v>
      </c>
      <c r="B164" t="s">
        <v>2389</v>
      </c>
    </row>
    <row r="165" spans="1:2" x14ac:dyDescent="0.25">
      <c r="A165" t="s">
        <v>586</v>
      </c>
      <c r="B165" t="s">
        <v>2505</v>
      </c>
    </row>
    <row r="166" spans="1:2" x14ac:dyDescent="0.25">
      <c r="A166" t="s">
        <v>587</v>
      </c>
      <c r="B166" t="s">
        <v>2389</v>
      </c>
    </row>
    <row r="167" spans="1:2" x14ac:dyDescent="0.25">
      <c r="A167" t="s">
        <v>588</v>
      </c>
      <c r="B167" t="s">
        <v>2506</v>
      </c>
    </row>
    <row r="168" spans="1:2" x14ac:dyDescent="0.25">
      <c r="A168" t="s">
        <v>589</v>
      </c>
      <c r="B168" t="s">
        <v>2507</v>
      </c>
    </row>
    <row r="169" spans="1:2" x14ac:dyDescent="0.25">
      <c r="A169" t="s">
        <v>590</v>
      </c>
      <c r="B169" t="s">
        <v>2508</v>
      </c>
    </row>
    <row r="170" spans="1:2" x14ac:dyDescent="0.25">
      <c r="A170" t="s">
        <v>591</v>
      </c>
      <c r="B170" t="s">
        <v>2389</v>
      </c>
    </row>
    <row r="171" spans="1:2" x14ac:dyDescent="0.25">
      <c r="A171" t="s">
        <v>592</v>
      </c>
      <c r="B171" t="s">
        <v>2509</v>
      </c>
    </row>
    <row r="172" spans="1:2" x14ac:dyDescent="0.25">
      <c r="A172" t="s">
        <v>593</v>
      </c>
      <c r="B172" t="s">
        <v>2389</v>
      </c>
    </row>
    <row r="173" spans="1:2" x14ac:dyDescent="0.25">
      <c r="A173" t="s">
        <v>594</v>
      </c>
      <c r="B173" t="s">
        <v>2510</v>
      </c>
    </row>
    <row r="174" spans="1:2" x14ac:dyDescent="0.25">
      <c r="A174" t="s">
        <v>595</v>
      </c>
      <c r="B174" t="s">
        <v>2389</v>
      </c>
    </row>
    <row r="175" spans="1:2" x14ac:dyDescent="0.25">
      <c r="A175" t="s">
        <v>596</v>
      </c>
      <c r="B175" t="s">
        <v>2511</v>
      </c>
    </row>
    <row r="176" spans="1:2" x14ac:dyDescent="0.25">
      <c r="A176" t="s">
        <v>597</v>
      </c>
      <c r="B176" t="s">
        <v>2512</v>
      </c>
    </row>
    <row r="177" spans="1:2" x14ac:dyDescent="0.25">
      <c r="A177" t="s">
        <v>598</v>
      </c>
      <c r="B177" t="s">
        <v>2513</v>
      </c>
    </row>
    <row r="178" spans="1:2" x14ac:dyDescent="0.25">
      <c r="A178" t="s">
        <v>599</v>
      </c>
      <c r="B178" t="s">
        <v>2514</v>
      </c>
    </row>
    <row r="179" spans="1:2" x14ac:dyDescent="0.25">
      <c r="A179" t="s">
        <v>600</v>
      </c>
      <c r="B179" t="s">
        <v>2515</v>
      </c>
    </row>
    <row r="180" spans="1:2" x14ac:dyDescent="0.25">
      <c r="A180" t="s">
        <v>601</v>
      </c>
      <c r="B180" t="s">
        <v>2389</v>
      </c>
    </row>
    <row r="181" spans="1:2" ht="24" x14ac:dyDescent="0.4">
      <c r="A181" s="16" t="s">
        <v>2516</v>
      </c>
    </row>
    <row r="182" spans="1:2" x14ac:dyDescent="0.25">
      <c r="A182" t="s">
        <v>602</v>
      </c>
      <c r="B182" t="s">
        <v>2517</v>
      </c>
    </row>
    <row r="183" spans="1:2" x14ac:dyDescent="0.25">
      <c r="A183" t="s">
        <v>603</v>
      </c>
      <c r="B183" t="s">
        <v>2518</v>
      </c>
    </row>
    <row r="184" spans="1:2" x14ac:dyDescent="0.25">
      <c r="A184" t="s">
        <v>604</v>
      </c>
      <c r="B184" t="s">
        <v>2519</v>
      </c>
    </row>
    <row r="185" spans="1:2" x14ac:dyDescent="0.25">
      <c r="A185" t="s">
        <v>605</v>
      </c>
      <c r="B185" t="s">
        <v>2520</v>
      </c>
    </row>
    <row r="186" spans="1:2" x14ac:dyDescent="0.25">
      <c r="A186" t="s">
        <v>606</v>
      </c>
      <c r="B186" t="s">
        <v>2521</v>
      </c>
    </row>
    <row r="187" spans="1:2" x14ac:dyDescent="0.25">
      <c r="A187" t="s">
        <v>607</v>
      </c>
      <c r="B187" t="s">
        <v>2522</v>
      </c>
    </row>
    <row r="188" spans="1:2" x14ac:dyDescent="0.25">
      <c r="A188" t="s">
        <v>608</v>
      </c>
      <c r="B188" t="s">
        <v>2523</v>
      </c>
    </row>
    <row r="189" spans="1:2" x14ac:dyDescent="0.25">
      <c r="A189" t="s">
        <v>609</v>
      </c>
      <c r="B189" t="s">
        <v>2457</v>
      </c>
    </row>
    <row r="190" spans="1:2" x14ac:dyDescent="0.25">
      <c r="A190" t="s">
        <v>610</v>
      </c>
      <c r="B190" t="s">
        <v>2524</v>
      </c>
    </row>
    <row r="191" spans="1:2" x14ac:dyDescent="0.25">
      <c r="A191" t="s">
        <v>611</v>
      </c>
      <c r="B191" t="s">
        <v>2389</v>
      </c>
    </row>
    <row r="192" spans="1:2" x14ac:dyDescent="0.25">
      <c r="A192" t="s">
        <v>612</v>
      </c>
      <c r="B192" t="s">
        <v>2517</v>
      </c>
    </row>
    <row r="193" spans="1:2" x14ac:dyDescent="0.25">
      <c r="A193" t="s">
        <v>613</v>
      </c>
      <c r="B193" t="s">
        <v>2518</v>
      </c>
    </row>
    <row r="194" spans="1:2" x14ac:dyDescent="0.25">
      <c r="A194" t="s">
        <v>614</v>
      </c>
      <c r="B194" t="s">
        <v>2519</v>
      </c>
    </row>
    <row r="195" spans="1:2" x14ac:dyDescent="0.25">
      <c r="A195" t="s">
        <v>615</v>
      </c>
      <c r="B195" t="s">
        <v>2520</v>
      </c>
    </row>
    <row r="196" spans="1:2" x14ac:dyDescent="0.25">
      <c r="A196" t="s">
        <v>616</v>
      </c>
      <c r="B196" t="s">
        <v>2521</v>
      </c>
    </row>
    <row r="197" spans="1:2" x14ac:dyDescent="0.25">
      <c r="A197" t="s">
        <v>617</v>
      </c>
      <c r="B197" t="s">
        <v>2522</v>
      </c>
    </row>
    <row r="198" spans="1:2" x14ac:dyDescent="0.25">
      <c r="A198" t="s">
        <v>618</v>
      </c>
      <c r="B198" t="s">
        <v>2523</v>
      </c>
    </row>
    <row r="199" spans="1:2" x14ac:dyDescent="0.25">
      <c r="A199" t="s">
        <v>619</v>
      </c>
      <c r="B199" t="s">
        <v>2457</v>
      </c>
    </row>
    <row r="200" spans="1:2" x14ac:dyDescent="0.25">
      <c r="A200" t="s">
        <v>620</v>
      </c>
      <c r="B200" t="s">
        <v>2525</v>
      </c>
    </row>
    <row r="201" spans="1:2" x14ac:dyDescent="0.25">
      <c r="A201" t="s">
        <v>621</v>
      </c>
      <c r="B201" t="s">
        <v>2526</v>
      </c>
    </row>
    <row r="202" spans="1:2" x14ac:dyDescent="0.25">
      <c r="A202" t="s">
        <v>622</v>
      </c>
      <c r="B202" t="s">
        <v>2527</v>
      </c>
    </row>
    <row r="203" spans="1:2" x14ac:dyDescent="0.25">
      <c r="A203" t="s">
        <v>623</v>
      </c>
      <c r="B203" t="s">
        <v>2528</v>
      </c>
    </row>
    <row r="204" spans="1:2" x14ac:dyDescent="0.25">
      <c r="A204" t="s">
        <v>624</v>
      </c>
      <c r="B204" t="s">
        <v>2529</v>
      </c>
    </row>
    <row r="205" spans="1:2" x14ac:dyDescent="0.25">
      <c r="A205" t="s">
        <v>625</v>
      </c>
      <c r="B205" t="s">
        <v>2530</v>
      </c>
    </row>
    <row r="206" spans="1:2" x14ac:dyDescent="0.25">
      <c r="A206" t="s">
        <v>626</v>
      </c>
      <c r="B206" t="s">
        <v>2389</v>
      </c>
    </row>
    <row r="207" spans="1:2" x14ac:dyDescent="0.25">
      <c r="A207" t="s">
        <v>627</v>
      </c>
      <c r="B207" t="s">
        <v>2517</v>
      </c>
    </row>
    <row r="208" spans="1:2" x14ac:dyDescent="0.25">
      <c r="A208" t="s">
        <v>628</v>
      </c>
      <c r="B208" t="s">
        <v>2518</v>
      </c>
    </row>
    <row r="209" spans="1:2" x14ac:dyDescent="0.25">
      <c r="A209" t="s">
        <v>629</v>
      </c>
      <c r="B209" t="s">
        <v>2519</v>
      </c>
    </row>
    <row r="210" spans="1:2" x14ac:dyDescent="0.25">
      <c r="A210" t="s">
        <v>630</v>
      </c>
      <c r="B210" t="s">
        <v>2520</v>
      </c>
    </row>
    <row r="211" spans="1:2" x14ac:dyDescent="0.25">
      <c r="A211" t="s">
        <v>631</v>
      </c>
      <c r="B211" t="s">
        <v>2521</v>
      </c>
    </row>
    <row r="212" spans="1:2" x14ac:dyDescent="0.25">
      <c r="A212" t="s">
        <v>632</v>
      </c>
      <c r="B212" t="s">
        <v>2522</v>
      </c>
    </row>
    <row r="213" spans="1:2" x14ac:dyDescent="0.25">
      <c r="A213" t="s">
        <v>633</v>
      </c>
      <c r="B213" t="s">
        <v>2523</v>
      </c>
    </row>
    <row r="214" spans="1:2" x14ac:dyDescent="0.25">
      <c r="A214" t="s">
        <v>634</v>
      </c>
      <c r="B214" t="s">
        <v>2457</v>
      </c>
    </row>
    <row r="215" spans="1:2" x14ac:dyDescent="0.25">
      <c r="A215" t="s">
        <v>635</v>
      </c>
      <c r="B215" t="s">
        <v>2531</v>
      </c>
    </row>
    <row r="216" spans="1:2" x14ac:dyDescent="0.25">
      <c r="A216" t="s">
        <v>636</v>
      </c>
      <c r="B216" t="s">
        <v>2389</v>
      </c>
    </row>
    <row r="217" spans="1:2" x14ac:dyDescent="0.25">
      <c r="A217" t="s">
        <v>637</v>
      </c>
      <c r="B217" t="s">
        <v>2517</v>
      </c>
    </row>
    <row r="218" spans="1:2" x14ac:dyDescent="0.25">
      <c r="A218" t="s">
        <v>638</v>
      </c>
      <c r="B218" t="s">
        <v>2518</v>
      </c>
    </row>
    <row r="219" spans="1:2" x14ac:dyDescent="0.25">
      <c r="A219" t="s">
        <v>639</v>
      </c>
      <c r="B219" t="s">
        <v>2519</v>
      </c>
    </row>
    <row r="220" spans="1:2" x14ac:dyDescent="0.25">
      <c r="A220" t="s">
        <v>640</v>
      </c>
      <c r="B220" t="s">
        <v>2520</v>
      </c>
    </row>
    <row r="221" spans="1:2" x14ac:dyDescent="0.25">
      <c r="A221" t="s">
        <v>641</v>
      </c>
      <c r="B221" t="s">
        <v>2521</v>
      </c>
    </row>
    <row r="222" spans="1:2" x14ac:dyDescent="0.25">
      <c r="A222" t="s">
        <v>642</v>
      </c>
      <c r="B222" t="s">
        <v>2522</v>
      </c>
    </row>
    <row r="223" spans="1:2" x14ac:dyDescent="0.25">
      <c r="A223" t="s">
        <v>643</v>
      </c>
      <c r="B223" t="s">
        <v>2523</v>
      </c>
    </row>
    <row r="224" spans="1:2" x14ac:dyDescent="0.25">
      <c r="A224" t="s">
        <v>644</v>
      </c>
      <c r="B224" t="s">
        <v>2457</v>
      </c>
    </row>
    <row r="225" spans="1:2" x14ac:dyDescent="0.25">
      <c r="A225" t="s">
        <v>645</v>
      </c>
      <c r="B225" t="s">
        <v>2532</v>
      </c>
    </row>
    <row r="226" spans="1:2" x14ac:dyDescent="0.25">
      <c r="A226" t="s">
        <v>646</v>
      </c>
      <c r="B226" t="s">
        <v>2533</v>
      </c>
    </row>
    <row r="227" spans="1:2" x14ac:dyDescent="0.25">
      <c r="A227" t="s">
        <v>647</v>
      </c>
      <c r="B227" t="s">
        <v>2389</v>
      </c>
    </row>
    <row r="228" spans="1:2" x14ac:dyDescent="0.25">
      <c r="A228" t="s">
        <v>648</v>
      </c>
      <c r="B228" t="s">
        <v>2517</v>
      </c>
    </row>
    <row r="229" spans="1:2" x14ac:dyDescent="0.25">
      <c r="A229" t="s">
        <v>649</v>
      </c>
      <c r="B229" t="s">
        <v>2518</v>
      </c>
    </row>
    <row r="230" spans="1:2" x14ac:dyDescent="0.25">
      <c r="A230" t="s">
        <v>650</v>
      </c>
      <c r="B230" t="s">
        <v>2519</v>
      </c>
    </row>
    <row r="231" spans="1:2" x14ac:dyDescent="0.25">
      <c r="A231" t="s">
        <v>651</v>
      </c>
      <c r="B231" t="s">
        <v>2520</v>
      </c>
    </row>
    <row r="232" spans="1:2" x14ac:dyDescent="0.25">
      <c r="A232" t="s">
        <v>652</v>
      </c>
      <c r="B232" t="s">
        <v>2521</v>
      </c>
    </row>
    <row r="233" spans="1:2" x14ac:dyDescent="0.25">
      <c r="A233" t="s">
        <v>653</v>
      </c>
      <c r="B233" t="s">
        <v>2522</v>
      </c>
    </row>
    <row r="234" spans="1:2" x14ac:dyDescent="0.25">
      <c r="A234" t="s">
        <v>654</v>
      </c>
      <c r="B234" t="s">
        <v>2523</v>
      </c>
    </row>
    <row r="235" spans="1:2" x14ac:dyDescent="0.25">
      <c r="A235" t="s">
        <v>655</v>
      </c>
      <c r="B235" t="s">
        <v>2457</v>
      </c>
    </row>
    <row r="236" spans="1:2" x14ac:dyDescent="0.25">
      <c r="A236" t="s">
        <v>656</v>
      </c>
      <c r="B236" t="s">
        <v>2534</v>
      </c>
    </row>
    <row r="237" spans="1:2" x14ac:dyDescent="0.25">
      <c r="A237" t="s">
        <v>657</v>
      </c>
      <c r="B237" t="s">
        <v>2533</v>
      </c>
    </row>
    <row r="238" spans="1:2" x14ac:dyDescent="0.25">
      <c r="A238" t="s">
        <v>658</v>
      </c>
      <c r="B238" t="s">
        <v>2535</v>
      </c>
    </row>
    <row r="239" spans="1:2" x14ac:dyDescent="0.25">
      <c r="A239" t="s">
        <v>659</v>
      </c>
      <c r="B239" t="s">
        <v>2389</v>
      </c>
    </row>
    <row r="240" spans="1:2" x14ac:dyDescent="0.25">
      <c r="A240" t="s">
        <v>660</v>
      </c>
      <c r="B240" t="s">
        <v>2517</v>
      </c>
    </row>
    <row r="241" spans="1:2" x14ac:dyDescent="0.25">
      <c r="A241" t="s">
        <v>661</v>
      </c>
      <c r="B241" t="s">
        <v>2518</v>
      </c>
    </row>
    <row r="242" spans="1:2" x14ac:dyDescent="0.25">
      <c r="A242" t="s">
        <v>662</v>
      </c>
      <c r="B242" t="s">
        <v>2519</v>
      </c>
    </row>
    <row r="243" spans="1:2" x14ac:dyDescent="0.25">
      <c r="A243" t="s">
        <v>663</v>
      </c>
      <c r="B243" t="s">
        <v>2520</v>
      </c>
    </row>
    <row r="244" spans="1:2" x14ac:dyDescent="0.25">
      <c r="A244" t="s">
        <v>664</v>
      </c>
      <c r="B244" t="s">
        <v>2521</v>
      </c>
    </row>
    <row r="245" spans="1:2" x14ac:dyDescent="0.25">
      <c r="A245" t="s">
        <v>665</v>
      </c>
      <c r="B245" t="s">
        <v>2522</v>
      </c>
    </row>
    <row r="246" spans="1:2" x14ac:dyDescent="0.25">
      <c r="A246" t="s">
        <v>666</v>
      </c>
      <c r="B246" t="s">
        <v>2523</v>
      </c>
    </row>
    <row r="247" spans="1:2" x14ac:dyDescent="0.25">
      <c r="A247" t="s">
        <v>667</v>
      </c>
      <c r="B247" t="s">
        <v>2457</v>
      </c>
    </row>
    <row r="248" spans="1:2" x14ac:dyDescent="0.25">
      <c r="A248" t="s">
        <v>668</v>
      </c>
      <c r="B248" t="s">
        <v>2536</v>
      </c>
    </row>
    <row r="249" spans="1:2" x14ac:dyDescent="0.25">
      <c r="A249" t="s">
        <v>669</v>
      </c>
      <c r="B249" t="s">
        <v>2389</v>
      </c>
    </row>
    <row r="250" spans="1:2" x14ac:dyDescent="0.25">
      <c r="A250" t="s">
        <v>670</v>
      </c>
      <c r="B250" t="s">
        <v>2517</v>
      </c>
    </row>
    <row r="251" spans="1:2" x14ac:dyDescent="0.25">
      <c r="A251" t="s">
        <v>671</v>
      </c>
      <c r="B251" t="s">
        <v>2518</v>
      </c>
    </row>
    <row r="252" spans="1:2" x14ac:dyDescent="0.25">
      <c r="A252" t="s">
        <v>672</v>
      </c>
      <c r="B252" t="s">
        <v>2519</v>
      </c>
    </row>
    <row r="253" spans="1:2" x14ac:dyDescent="0.25">
      <c r="A253" t="s">
        <v>673</v>
      </c>
      <c r="B253" t="s">
        <v>2520</v>
      </c>
    </row>
    <row r="254" spans="1:2" x14ac:dyDescent="0.25">
      <c r="A254" t="s">
        <v>674</v>
      </c>
      <c r="B254" t="s">
        <v>2521</v>
      </c>
    </row>
    <row r="255" spans="1:2" x14ac:dyDescent="0.25">
      <c r="A255" t="s">
        <v>675</v>
      </c>
      <c r="B255" t="s">
        <v>2522</v>
      </c>
    </row>
    <row r="256" spans="1:2" x14ac:dyDescent="0.25">
      <c r="A256" t="s">
        <v>676</v>
      </c>
      <c r="B256" t="s">
        <v>2523</v>
      </c>
    </row>
    <row r="257" spans="1:2" x14ac:dyDescent="0.25">
      <c r="A257" t="s">
        <v>677</v>
      </c>
      <c r="B257" t="s">
        <v>2457</v>
      </c>
    </row>
    <row r="258" spans="1:2" x14ac:dyDescent="0.25">
      <c r="A258" t="s">
        <v>678</v>
      </c>
      <c r="B258" t="s">
        <v>2537</v>
      </c>
    </row>
    <row r="259" spans="1:2" x14ac:dyDescent="0.25">
      <c r="A259" t="s">
        <v>679</v>
      </c>
      <c r="B259" t="s">
        <v>2389</v>
      </c>
    </row>
    <row r="260" spans="1:2" ht="24" x14ac:dyDescent="0.4">
      <c r="A260" s="16" t="s">
        <v>2538</v>
      </c>
    </row>
    <row r="261" spans="1:2" x14ac:dyDescent="0.25">
      <c r="A261" t="s">
        <v>106</v>
      </c>
      <c r="B261" t="s">
        <v>2539</v>
      </c>
    </row>
    <row r="262" spans="1:2" x14ac:dyDescent="0.25">
      <c r="A262" t="s">
        <v>680</v>
      </c>
      <c r="B262" t="s">
        <v>2540</v>
      </c>
    </row>
    <row r="263" spans="1:2" x14ac:dyDescent="0.25">
      <c r="A263" t="s">
        <v>681</v>
      </c>
      <c r="B263" t="s">
        <v>2541</v>
      </c>
    </row>
    <row r="264" spans="1:2" x14ac:dyDescent="0.25">
      <c r="A264" t="s">
        <v>682</v>
      </c>
      <c r="B264" t="s">
        <v>2542</v>
      </c>
    </row>
    <row r="265" spans="1:2" x14ac:dyDescent="0.25">
      <c r="A265" t="s">
        <v>683</v>
      </c>
      <c r="B265" t="s">
        <v>2543</v>
      </c>
    </row>
    <row r="266" spans="1:2" x14ac:dyDescent="0.25">
      <c r="A266" t="s">
        <v>684</v>
      </c>
      <c r="B266" t="s">
        <v>2544</v>
      </c>
    </row>
    <row r="267" spans="1:2" x14ac:dyDescent="0.25">
      <c r="A267" t="s">
        <v>685</v>
      </c>
      <c r="B267" t="s">
        <v>2545</v>
      </c>
    </row>
    <row r="268" spans="1:2" x14ac:dyDescent="0.25">
      <c r="A268" t="s">
        <v>686</v>
      </c>
      <c r="B268" t="s">
        <v>2546</v>
      </c>
    </row>
    <row r="269" spans="1:2" x14ac:dyDescent="0.25">
      <c r="A269" t="s">
        <v>687</v>
      </c>
      <c r="B269" t="s">
        <v>2547</v>
      </c>
    </row>
    <row r="270" spans="1:2" x14ac:dyDescent="0.25">
      <c r="A270" t="s">
        <v>688</v>
      </c>
      <c r="B270" t="s">
        <v>2548</v>
      </c>
    </row>
    <row r="271" spans="1:2" x14ac:dyDescent="0.25">
      <c r="A271" t="s">
        <v>689</v>
      </c>
      <c r="B271" t="s">
        <v>2549</v>
      </c>
    </row>
    <row r="272" spans="1:2" x14ac:dyDescent="0.25">
      <c r="A272" t="s">
        <v>690</v>
      </c>
      <c r="B272" t="s">
        <v>2389</v>
      </c>
    </row>
    <row r="273" spans="1:2" x14ac:dyDescent="0.25">
      <c r="A273" t="s">
        <v>691</v>
      </c>
      <c r="B273" t="s">
        <v>2550</v>
      </c>
    </row>
    <row r="274" spans="1:2" x14ac:dyDescent="0.25">
      <c r="A274" t="s">
        <v>692</v>
      </c>
      <c r="B274" t="s">
        <v>2551</v>
      </c>
    </row>
    <row r="275" spans="1:2" x14ac:dyDescent="0.25">
      <c r="A275" t="s">
        <v>693</v>
      </c>
      <c r="B275" t="s">
        <v>2552</v>
      </c>
    </row>
    <row r="276" spans="1:2" x14ac:dyDescent="0.25">
      <c r="A276" t="s">
        <v>694</v>
      </c>
      <c r="B276" t="s">
        <v>2389</v>
      </c>
    </row>
    <row r="277" spans="1:2" x14ac:dyDescent="0.25">
      <c r="A277" t="s">
        <v>695</v>
      </c>
      <c r="B277" t="s">
        <v>2553</v>
      </c>
    </row>
    <row r="278" spans="1:2" x14ac:dyDescent="0.25">
      <c r="A278" t="s">
        <v>696</v>
      </c>
      <c r="B278" t="s">
        <v>2554</v>
      </c>
    </row>
    <row r="279" spans="1:2" x14ac:dyDescent="0.25">
      <c r="A279" t="s">
        <v>697</v>
      </c>
      <c r="B279" t="s">
        <v>2555</v>
      </c>
    </row>
    <row r="280" spans="1:2" x14ac:dyDescent="0.25">
      <c r="A280" t="s">
        <v>698</v>
      </c>
      <c r="B280" t="s">
        <v>2556</v>
      </c>
    </row>
    <row r="281" spans="1:2" x14ac:dyDescent="0.25">
      <c r="A281" t="s">
        <v>699</v>
      </c>
      <c r="B281" t="s">
        <v>2557</v>
      </c>
    </row>
    <row r="282" spans="1:2" x14ac:dyDescent="0.25">
      <c r="A282" t="s">
        <v>700</v>
      </c>
      <c r="B282" t="s">
        <v>2558</v>
      </c>
    </row>
    <row r="283" spans="1:2" x14ac:dyDescent="0.25">
      <c r="A283" t="s">
        <v>701</v>
      </c>
      <c r="B283" t="s">
        <v>2559</v>
      </c>
    </row>
    <row r="284" spans="1:2" x14ac:dyDescent="0.25">
      <c r="A284" t="s">
        <v>702</v>
      </c>
      <c r="B284" t="s">
        <v>2560</v>
      </c>
    </row>
    <row r="285" spans="1:2" x14ac:dyDescent="0.25">
      <c r="A285" t="s">
        <v>703</v>
      </c>
      <c r="B285" t="s">
        <v>2561</v>
      </c>
    </row>
    <row r="286" spans="1:2" x14ac:dyDescent="0.25">
      <c r="A286" t="s">
        <v>704</v>
      </c>
      <c r="B286" t="s">
        <v>2562</v>
      </c>
    </row>
    <row r="287" spans="1:2" x14ac:dyDescent="0.25">
      <c r="A287" t="s">
        <v>705</v>
      </c>
      <c r="B287" t="s">
        <v>2389</v>
      </c>
    </row>
    <row r="288" spans="1:2" x14ac:dyDescent="0.25">
      <c r="A288" t="s">
        <v>706</v>
      </c>
      <c r="B288" t="s">
        <v>2563</v>
      </c>
    </row>
    <row r="289" spans="1:2" x14ac:dyDescent="0.25">
      <c r="A289" t="s">
        <v>707</v>
      </c>
      <c r="B289" t="s">
        <v>2564</v>
      </c>
    </row>
    <row r="290" spans="1:2" x14ac:dyDescent="0.25">
      <c r="A290" t="s">
        <v>708</v>
      </c>
      <c r="B290" t="s">
        <v>2565</v>
      </c>
    </row>
    <row r="291" spans="1:2" x14ac:dyDescent="0.25">
      <c r="A291" t="s">
        <v>709</v>
      </c>
      <c r="B291" t="s">
        <v>2566</v>
      </c>
    </row>
    <row r="292" spans="1:2" x14ac:dyDescent="0.25">
      <c r="A292" t="s">
        <v>710</v>
      </c>
      <c r="B292" t="s">
        <v>2567</v>
      </c>
    </row>
    <row r="293" spans="1:2" x14ac:dyDescent="0.25">
      <c r="A293" t="s">
        <v>711</v>
      </c>
      <c r="B293" t="s">
        <v>2568</v>
      </c>
    </row>
    <row r="294" spans="1:2" x14ac:dyDescent="0.25">
      <c r="A294" t="s">
        <v>712</v>
      </c>
      <c r="B294" t="s">
        <v>2569</v>
      </c>
    </row>
    <row r="295" spans="1:2" x14ac:dyDescent="0.25">
      <c r="A295" t="s">
        <v>713</v>
      </c>
      <c r="B295" t="s">
        <v>2570</v>
      </c>
    </row>
    <row r="296" spans="1:2" x14ac:dyDescent="0.25">
      <c r="A296" t="s">
        <v>714</v>
      </c>
      <c r="B296" t="s">
        <v>2571</v>
      </c>
    </row>
    <row r="297" spans="1:2" x14ac:dyDescent="0.25">
      <c r="A297" t="s">
        <v>715</v>
      </c>
      <c r="B297" t="s">
        <v>2389</v>
      </c>
    </row>
    <row r="298" spans="1:2" x14ac:dyDescent="0.25">
      <c r="A298" t="s">
        <v>716</v>
      </c>
      <c r="B298" t="s">
        <v>2572</v>
      </c>
    </row>
    <row r="299" spans="1:2" ht="24" x14ac:dyDescent="0.4">
      <c r="A299" s="16" t="s">
        <v>2573</v>
      </c>
    </row>
    <row r="300" spans="1:2" x14ac:dyDescent="0.25">
      <c r="A300" t="s">
        <v>717</v>
      </c>
      <c r="B300" t="s">
        <v>2574</v>
      </c>
    </row>
    <row r="301" spans="1:2" x14ac:dyDescent="0.25">
      <c r="A301" t="s">
        <v>718</v>
      </c>
      <c r="B301" t="s">
        <v>2575</v>
      </c>
    </row>
    <row r="302" spans="1:2" x14ac:dyDescent="0.25">
      <c r="A302" t="s">
        <v>719</v>
      </c>
      <c r="B302" t="s">
        <v>2576</v>
      </c>
    </row>
    <row r="303" spans="1:2" x14ac:dyDescent="0.25">
      <c r="A303" t="s">
        <v>720</v>
      </c>
      <c r="B303" t="s">
        <v>2577</v>
      </c>
    </row>
    <row r="304" spans="1:2" x14ac:dyDescent="0.25">
      <c r="A304" t="s">
        <v>721</v>
      </c>
      <c r="B304" t="s">
        <v>2578</v>
      </c>
    </row>
    <row r="305" spans="1:2" x14ac:dyDescent="0.25">
      <c r="A305" t="s">
        <v>722</v>
      </c>
      <c r="B305" t="s">
        <v>2579</v>
      </c>
    </row>
    <row r="306" spans="1:2" x14ac:dyDescent="0.25">
      <c r="A306" t="s">
        <v>723</v>
      </c>
      <c r="B306" t="s">
        <v>2580</v>
      </c>
    </row>
    <row r="307" spans="1:2" x14ac:dyDescent="0.25">
      <c r="A307" t="s">
        <v>724</v>
      </c>
      <c r="B307" t="s">
        <v>2581</v>
      </c>
    </row>
    <row r="308" spans="1:2" x14ac:dyDescent="0.25">
      <c r="A308" t="s">
        <v>725</v>
      </c>
      <c r="B308" t="s">
        <v>2582</v>
      </c>
    </row>
    <row r="309" spans="1:2" x14ac:dyDescent="0.25">
      <c r="A309" t="s">
        <v>726</v>
      </c>
      <c r="B309" t="s">
        <v>2583</v>
      </c>
    </row>
    <row r="310" spans="1:2" x14ac:dyDescent="0.25">
      <c r="A310" t="s">
        <v>727</v>
      </c>
      <c r="B310" t="s">
        <v>2584</v>
      </c>
    </row>
    <row r="311" spans="1:2" x14ac:dyDescent="0.25">
      <c r="A311" t="s">
        <v>728</v>
      </c>
      <c r="B311" t="s">
        <v>2585</v>
      </c>
    </row>
    <row r="312" spans="1:2" x14ac:dyDescent="0.25">
      <c r="A312" t="s">
        <v>729</v>
      </c>
      <c r="B312" t="s">
        <v>2389</v>
      </c>
    </row>
    <row r="313" spans="1:2" ht="24" x14ac:dyDescent="0.4">
      <c r="A313" s="16" t="s">
        <v>2586</v>
      </c>
    </row>
    <row r="314" spans="1:2" x14ac:dyDescent="0.25">
      <c r="A314" t="s">
        <v>730</v>
      </c>
      <c r="B314" t="s">
        <v>2587</v>
      </c>
    </row>
    <row r="315" spans="1:2" x14ac:dyDescent="0.25">
      <c r="A315" t="s">
        <v>731</v>
      </c>
      <c r="B315" t="s">
        <v>2588</v>
      </c>
    </row>
    <row r="316" spans="1:2" x14ac:dyDescent="0.25">
      <c r="A316" t="s">
        <v>732</v>
      </c>
      <c r="B316" t="s">
        <v>2589</v>
      </c>
    </row>
    <row r="317" spans="1:2" x14ac:dyDescent="0.25">
      <c r="A317" t="s">
        <v>733</v>
      </c>
      <c r="B317" t="s">
        <v>2590</v>
      </c>
    </row>
    <row r="318" spans="1:2" x14ac:dyDescent="0.25">
      <c r="A318" t="s">
        <v>734</v>
      </c>
      <c r="B318" t="s">
        <v>2591</v>
      </c>
    </row>
    <row r="319" spans="1:2" x14ac:dyDescent="0.25">
      <c r="A319" t="s">
        <v>735</v>
      </c>
      <c r="B319" t="s">
        <v>2592</v>
      </c>
    </row>
    <row r="320" spans="1:2" x14ac:dyDescent="0.25">
      <c r="A320" t="s">
        <v>736</v>
      </c>
      <c r="B320" t="s">
        <v>2593</v>
      </c>
    </row>
    <row r="321" spans="1:2" x14ac:dyDescent="0.25">
      <c r="A321" t="s">
        <v>737</v>
      </c>
      <c r="B321" t="s">
        <v>2594</v>
      </c>
    </row>
    <row r="322" spans="1:2" x14ac:dyDescent="0.25">
      <c r="A322" t="s">
        <v>738</v>
      </c>
      <c r="B322" t="s">
        <v>2595</v>
      </c>
    </row>
    <row r="323" spans="1:2" x14ac:dyDescent="0.25">
      <c r="A323" t="s">
        <v>739</v>
      </c>
      <c r="B323" t="s">
        <v>2596</v>
      </c>
    </row>
    <row r="324" spans="1:2" x14ac:dyDescent="0.25">
      <c r="A324" t="s">
        <v>740</v>
      </c>
      <c r="B324" t="s">
        <v>2597</v>
      </c>
    </row>
    <row r="325" spans="1:2" x14ac:dyDescent="0.25">
      <c r="A325" t="s">
        <v>741</v>
      </c>
      <c r="B325" t="s">
        <v>2598</v>
      </c>
    </row>
    <row r="326" spans="1:2" x14ac:dyDescent="0.25">
      <c r="A326" t="s">
        <v>742</v>
      </c>
      <c r="B326" t="s">
        <v>2599</v>
      </c>
    </row>
    <row r="327" spans="1:2" x14ac:dyDescent="0.25">
      <c r="A327" t="s">
        <v>743</v>
      </c>
      <c r="B327" t="s">
        <v>2600</v>
      </c>
    </row>
    <row r="328" spans="1:2" x14ac:dyDescent="0.25">
      <c r="A328" t="s">
        <v>744</v>
      </c>
      <c r="B328" t="s">
        <v>2457</v>
      </c>
    </row>
    <row r="329" spans="1:2" x14ac:dyDescent="0.25">
      <c r="A329" t="s">
        <v>745</v>
      </c>
      <c r="B329" t="s">
        <v>2601</v>
      </c>
    </row>
    <row r="330" spans="1:2" x14ac:dyDescent="0.25">
      <c r="A330" t="s">
        <v>746</v>
      </c>
      <c r="B330" t="s">
        <v>2602</v>
      </c>
    </row>
    <row r="331" spans="1:2" x14ac:dyDescent="0.25">
      <c r="A331" t="s">
        <v>747</v>
      </c>
      <c r="B331" t="s">
        <v>2603</v>
      </c>
    </row>
    <row r="332" spans="1:2" x14ac:dyDescent="0.25">
      <c r="A332" t="s">
        <v>748</v>
      </c>
      <c r="B332" t="s">
        <v>2604</v>
      </c>
    </row>
    <row r="333" spans="1:2" x14ac:dyDescent="0.25">
      <c r="A333" t="s">
        <v>749</v>
      </c>
      <c r="B333" t="s">
        <v>2605</v>
      </c>
    </row>
    <row r="334" spans="1:2" x14ac:dyDescent="0.25">
      <c r="A334" t="s">
        <v>750</v>
      </c>
      <c r="B334" t="s">
        <v>2606</v>
      </c>
    </row>
    <row r="335" spans="1:2" x14ac:dyDescent="0.25">
      <c r="A335" t="s">
        <v>751</v>
      </c>
      <c r="B335" t="s">
        <v>2389</v>
      </c>
    </row>
    <row r="336" spans="1:2" x14ac:dyDescent="0.25">
      <c r="A336" t="s">
        <v>752</v>
      </c>
      <c r="B336" t="s">
        <v>2607</v>
      </c>
    </row>
    <row r="337" spans="1:2" x14ac:dyDescent="0.25">
      <c r="A337" t="s">
        <v>753</v>
      </c>
      <c r="B337" t="s">
        <v>2608</v>
      </c>
    </row>
    <row r="338" spans="1:2" x14ac:dyDescent="0.25">
      <c r="A338" t="s">
        <v>754</v>
      </c>
      <c r="B338" t="s">
        <v>2609</v>
      </c>
    </row>
    <row r="339" spans="1:2" x14ac:dyDescent="0.25">
      <c r="A339" t="s">
        <v>755</v>
      </c>
      <c r="B339" t="s">
        <v>2610</v>
      </c>
    </row>
    <row r="340" spans="1:2" x14ac:dyDescent="0.25">
      <c r="A340" t="s">
        <v>756</v>
      </c>
      <c r="B340" t="s">
        <v>2611</v>
      </c>
    </row>
    <row r="341" spans="1:2" x14ac:dyDescent="0.25">
      <c r="A341" t="s">
        <v>757</v>
      </c>
      <c r="B341" t="s">
        <v>2612</v>
      </c>
    </row>
    <row r="342" spans="1:2" x14ac:dyDescent="0.25">
      <c r="A342" t="s">
        <v>758</v>
      </c>
      <c r="B342" t="s">
        <v>2613</v>
      </c>
    </row>
    <row r="343" spans="1:2" x14ac:dyDescent="0.25">
      <c r="A343" t="s">
        <v>759</v>
      </c>
      <c r="B343" t="s">
        <v>2614</v>
      </c>
    </row>
    <row r="344" spans="1:2" x14ac:dyDescent="0.25">
      <c r="A344" t="s">
        <v>760</v>
      </c>
      <c r="B344" t="s">
        <v>2615</v>
      </c>
    </row>
    <row r="345" spans="1:2" x14ac:dyDescent="0.25">
      <c r="A345" t="s">
        <v>761</v>
      </c>
      <c r="B345" t="s">
        <v>2616</v>
      </c>
    </row>
    <row r="346" spans="1:2" x14ac:dyDescent="0.25">
      <c r="A346" t="s">
        <v>762</v>
      </c>
      <c r="B346" t="s">
        <v>2389</v>
      </c>
    </row>
    <row r="347" spans="1:2" x14ac:dyDescent="0.25">
      <c r="A347" t="s">
        <v>763</v>
      </c>
      <c r="B347" t="s">
        <v>2617</v>
      </c>
    </row>
    <row r="348" spans="1:2" x14ac:dyDescent="0.25">
      <c r="A348" t="s">
        <v>764</v>
      </c>
      <c r="B348" t="s">
        <v>2618</v>
      </c>
    </row>
    <row r="349" spans="1:2" x14ac:dyDescent="0.25">
      <c r="A349" t="s">
        <v>765</v>
      </c>
      <c r="B349" t="s">
        <v>2619</v>
      </c>
    </row>
    <row r="350" spans="1:2" x14ac:dyDescent="0.25">
      <c r="A350" t="s">
        <v>766</v>
      </c>
      <c r="B350" t="s">
        <v>2620</v>
      </c>
    </row>
    <row r="351" spans="1:2" x14ac:dyDescent="0.25">
      <c r="A351" t="s">
        <v>767</v>
      </c>
      <c r="B351" t="s">
        <v>2621</v>
      </c>
    </row>
    <row r="352" spans="1:2" x14ac:dyDescent="0.25">
      <c r="A352" t="s">
        <v>768</v>
      </c>
      <c r="B352" t="s">
        <v>2622</v>
      </c>
    </row>
    <row r="353" spans="1:2" x14ac:dyDescent="0.25">
      <c r="A353" t="s">
        <v>769</v>
      </c>
      <c r="B353" t="s">
        <v>2623</v>
      </c>
    </row>
    <row r="354" spans="1:2" x14ac:dyDescent="0.25">
      <c r="A354" t="s">
        <v>770</v>
      </c>
      <c r="B354" t="s">
        <v>2624</v>
      </c>
    </row>
    <row r="355" spans="1:2" x14ac:dyDescent="0.25">
      <c r="A355" t="s">
        <v>771</v>
      </c>
      <c r="B355" t="s">
        <v>2625</v>
      </c>
    </row>
    <row r="356" spans="1:2" x14ac:dyDescent="0.25">
      <c r="A356" t="s">
        <v>772</v>
      </c>
      <c r="B356" t="s">
        <v>2626</v>
      </c>
    </row>
    <row r="357" spans="1:2" x14ac:dyDescent="0.25">
      <c r="A357" t="s">
        <v>773</v>
      </c>
      <c r="B357" t="s">
        <v>2627</v>
      </c>
    </row>
    <row r="358" spans="1:2" x14ac:dyDescent="0.25">
      <c r="A358" t="s">
        <v>774</v>
      </c>
      <c r="B358" t="s">
        <v>2628</v>
      </c>
    </row>
    <row r="359" spans="1:2" x14ac:dyDescent="0.25">
      <c r="A359" t="s">
        <v>775</v>
      </c>
      <c r="B359" t="s">
        <v>2629</v>
      </c>
    </row>
    <row r="360" spans="1:2" x14ac:dyDescent="0.25">
      <c r="A360" t="s">
        <v>776</v>
      </c>
      <c r="B360" t="s">
        <v>2609</v>
      </c>
    </row>
    <row r="361" spans="1:2" x14ac:dyDescent="0.25">
      <c r="A361" t="s">
        <v>777</v>
      </c>
      <c r="B361" t="s">
        <v>2630</v>
      </c>
    </row>
    <row r="362" spans="1:2" x14ac:dyDescent="0.25">
      <c r="A362" t="s">
        <v>778</v>
      </c>
      <c r="B362" t="s">
        <v>2614</v>
      </c>
    </row>
    <row r="363" spans="1:2" x14ac:dyDescent="0.25">
      <c r="A363" t="s">
        <v>779</v>
      </c>
      <c r="B363" t="s">
        <v>2631</v>
      </c>
    </row>
    <row r="364" spans="1:2" x14ac:dyDescent="0.25">
      <c r="A364" t="s">
        <v>780</v>
      </c>
      <c r="B364" t="s">
        <v>2612</v>
      </c>
    </row>
    <row r="365" spans="1:2" x14ac:dyDescent="0.25">
      <c r="A365" t="s">
        <v>781</v>
      </c>
      <c r="B365" t="s">
        <v>2632</v>
      </c>
    </row>
    <row r="366" spans="1:2" x14ac:dyDescent="0.25">
      <c r="A366" t="s">
        <v>782</v>
      </c>
      <c r="B366" t="s">
        <v>2633</v>
      </c>
    </row>
    <row r="367" spans="1:2" x14ac:dyDescent="0.25">
      <c r="A367" t="s">
        <v>783</v>
      </c>
      <c r="B367" t="s">
        <v>2634</v>
      </c>
    </row>
    <row r="368" spans="1:2" x14ac:dyDescent="0.25">
      <c r="A368" t="s">
        <v>784</v>
      </c>
      <c r="B368" t="s">
        <v>2389</v>
      </c>
    </row>
    <row r="369" spans="1:2" x14ac:dyDescent="0.25">
      <c r="A369" t="s">
        <v>785</v>
      </c>
      <c r="B369" t="s">
        <v>2635</v>
      </c>
    </row>
    <row r="370" spans="1:2" x14ac:dyDescent="0.25">
      <c r="A370" t="s">
        <v>786</v>
      </c>
      <c r="B370" t="s">
        <v>2636</v>
      </c>
    </row>
    <row r="371" spans="1:2" x14ac:dyDescent="0.25">
      <c r="A371" t="s">
        <v>787</v>
      </c>
      <c r="B371" t="s">
        <v>2637</v>
      </c>
    </row>
    <row r="372" spans="1:2" x14ac:dyDescent="0.25">
      <c r="A372" t="s">
        <v>788</v>
      </c>
      <c r="B372" t="s">
        <v>2638</v>
      </c>
    </row>
    <row r="373" spans="1:2" x14ac:dyDescent="0.25">
      <c r="A373" t="s">
        <v>789</v>
      </c>
      <c r="B373" t="s">
        <v>2639</v>
      </c>
    </row>
    <row r="374" spans="1:2" x14ac:dyDescent="0.25">
      <c r="A374" t="s">
        <v>790</v>
      </c>
      <c r="B374" t="s">
        <v>2640</v>
      </c>
    </row>
    <row r="375" spans="1:2" x14ac:dyDescent="0.25">
      <c r="A375" t="s">
        <v>791</v>
      </c>
      <c r="B375" t="s">
        <v>2641</v>
      </c>
    </row>
    <row r="376" spans="1:2" x14ac:dyDescent="0.25">
      <c r="A376" t="s">
        <v>792</v>
      </c>
      <c r="B376" t="s">
        <v>2612</v>
      </c>
    </row>
    <row r="377" spans="1:2" x14ac:dyDescent="0.25">
      <c r="A377" t="s">
        <v>793</v>
      </c>
      <c r="B377" t="s">
        <v>2642</v>
      </c>
    </row>
    <row r="378" spans="1:2" x14ac:dyDescent="0.25">
      <c r="A378" t="s">
        <v>794</v>
      </c>
      <c r="B378" t="s">
        <v>2389</v>
      </c>
    </row>
    <row r="379" spans="1:2" x14ac:dyDescent="0.25">
      <c r="A379" t="s">
        <v>795</v>
      </c>
      <c r="B379" t="s">
        <v>2635</v>
      </c>
    </row>
    <row r="380" spans="1:2" x14ac:dyDescent="0.25">
      <c r="A380" t="s">
        <v>796</v>
      </c>
      <c r="B380" t="s">
        <v>2638</v>
      </c>
    </row>
    <row r="381" spans="1:2" x14ac:dyDescent="0.25">
      <c r="A381" t="s">
        <v>797</v>
      </c>
      <c r="B381" t="s">
        <v>2639</v>
      </c>
    </row>
    <row r="382" spans="1:2" x14ac:dyDescent="0.25">
      <c r="A382" t="s">
        <v>798</v>
      </c>
      <c r="B382" t="s">
        <v>2643</v>
      </c>
    </row>
    <row r="383" spans="1:2" x14ac:dyDescent="0.25">
      <c r="A383" t="s">
        <v>799</v>
      </c>
      <c r="B383" t="s">
        <v>2641</v>
      </c>
    </row>
    <row r="384" spans="1:2" x14ac:dyDescent="0.25">
      <c r="A384" t="s">
        <v>800</v>
      </c>
      <c r="B384" t="s">
        <v>2612</v>
      </c>
    </row>
    <row r="385" spans="1:2" x14ac:dyDescent="0.25">
      <c r="A385" t="s">
        <v>801</v>
      </c>
      <c r="B385" t="s">
        <v>2644</v>
      </c>
    </row>
    <row r="386" spans="1:2" x14ac:dyDescent="0.25">
      <c r="A386" t="s">
        <v>802</v>
      </c>
      <c r="B386" t="s">
        <v>2645</v>
      </c>
    </row>
    <row r="387" spans="1:2" x14ac:dyDescent="0.25">
      <c r="A387" t="s">
        <v>803</v>
      </c>
      <c r="B387" t="s">
        <v>2646</v>
      </c>
    </row>
    <row r="388" spans="1:2" x14ac:dyDescent="0.25">
      <c r="A388" t="s">
        <v>804</v>
      </c>
      <c r="B388" t="s">
        <v>2389</v>
      </c>
    </row>
    <row r="389" spans="1:2" x14ac:dyDescent="0.25">
      <c r="A389" t="s">
        <v>805</v>
      </c>
      <c r="B389" t="s">
        <v>2635</v>
      </c>
    </row>
    <row r="390" spans="1:2" x14ac:dyDescent="0.25">
      <c r="A390" t="s">
        <v>806</v>
      </c>
      <c r="B390" t="s">
        <v>2636</v>
      </c>
    </row>
    <row r="391" spans="1:2" x14ac:dyDescent="0.25">
      <c r="A391" t="s">
        <v>807</v>
      </c>
      <c r="B391" t="s">
        <v>2638</v>
      </c>
    </row>
    <row r="392" spans="1:2" x14ac:dyDescent="0.25">
      <c r="A392" t="s">
        <v>808</v>
      </c>
      <c r="B392" t="s">
        <v>2639</v>
      </c>
    </row>
    <row r="393" spans="1:2" x14ac:dyDescent="0.25">
      <c r="A393" t="s">
        <v>809</v>
      </c>
      <c r="B393" t="s">
        <v>2640</v>
      </c>
    </row>
    <row r="394" spans="1:2" x14ac:dyDescent="0.25">
      <c r="A394" t="s">
        <v>810</v>
      </c>
      <c r="B394" t="s">
        <v>2641</v>
      </c>
    </row>
    <row r="395" spans="1:2" x14ac:dyDescent="0.25">
      <c r="A395" t="s">
        <v>811</v>
      </c>
      <c r="B395" t="s">
        <v>2612</v>
      </c>
    </row>
    <row r="396" spans="1:2" x14ac:dyDescent="0.25">
      <c r="A396" t="s">
        <v>812</v>
      </c>
      <c r="B396" t="s">
        <v>2647</v>
      </c>
    </row>
    <row r="397" spans="1:2" x14ac:dyDescent="0.25">
      <c r="A397" t="s">
        <v>813</v>
      </c>
      <c r="B397" t="s">
        <v>2389</v>
      </c>
    </row>
    <row r="398" spans="1:2" x14ac:dyDescent="0.25">
      <c r="A398" t="s">
        <v>814</v>
      </c>
      <c r="B398" t="s">
        <v>2635</v>
      </c>
    </row>
    <row r="399" spans="1:2" x14ac:dyDescent="0.25">
      <c r="A399" t="s">
        <v>815</v>
      </c>
      <c r="B399" t="s">
        <v>2636</v>
      </c>
    </row>
    <row r="400" spans="1:2" x14ac:dyDescent="0.25">
      <c r="A400" t="s">
        <v>816</v>
      </c>
      <c r="B400" t="s">
        <v>2640</v>
      </c>
    </row>
    <row r="401" spans="1:2" x14ac:dyDescent="0.25">
      <c r="A401" t="s">
        <v>817</v>
      </c>
      <c r="B401" t="s">
        <v>2639</v>
      </c>
    </row>
    <row r="402" spans="1:2" x14ac:dyDescent="0.25">
      <c r="A402" t="s">
        <v>818</v>
      </c>
      <c r="B402" t="s">
        <v>2641</v>
      </c>
    </row>
    <row r="403" spans="1:2" x14ac:dyDescent="0.25">
      <c r="A403" t="s">
        <v>819</v>
      </c>
      <c r="B403" t="s">
        <v>2612</v>
      </c>
    </row>
    <row r="404" spans="1:2" x14ac:dyDescent="0.25">
      <c r="A404" t="s">
        <v>820</v>
      </c>
      <c r="B404" t="s">
        <v>2648</v>
      </c>
    </row>
    <row r="405" spans="1:2" x14ac:dyDescent="0.25">
      <c r="A405" t="s">
        <v>821</v>
      </c>
      <c r="B405" t="s">
        <v>2389</v>
      </c>
    </row>
    <row r="406" spans="1:2" x14ac:dyDescent="0.25">
      <c r="A406" t="s">
        <v>822</v>
      </c>
      <c r="B406" t="s">
        <v>2649</v>
      </c>
    </row>
    <row r="407" spans="1:2" x14ac:dyDescent="0.25">
      <c r="A407" t="s">
        <v>823</v>
      </c>
      <c r="B407" t="s">
        <v>2650</v>
      </c>
    </row>
    <row r="408" spans="1:2" x14ac:dyDescent="0.25">
      <c r="A408" t="s">
        <v>824</v>
      </c>
      <c r="B408" t="s">
        <v>2651</v>
      </c>
    </row>
    <row r="409" spans="1:2" x14ac:dyDescent="0.25">
      <c r="A409" t="s">
        <v>825</v>
      </c>
      <c r="B409" t="s">
        <v>2645</v>
      </c>
    </row>
    <row r="410" spans="1:2" x14ac:dyDescent="0.25">
      <c r="A410" t="s">
        <v>826</v>
      </c>
      <c r="B410" t="s">
        <v>2652</v>
      </c>
    </row>
    <row r="411" spans="1:2" x14ac:dyDescent="0.25">
      <c r="A411" t="s">
        <v>827</v>
      </c>
      <c r="B411" t="s">
        <v>2624</v>
      </c>
    </row>
    <row r="412" spans="1:2" x14ac:dyDescent="0.25">
      <c r="A412" t="s">
        <v>828</v>
      </c>
      <c r="B412" t="s">
        <v>2653</v>
      </c>
    </row>
    <row r="413" spans="1:2" x14ac:dyDescent="0.25">
      <c r="A413" t="s">
        <v>829</v>
      </c>
      <c r="B413" t="s">
        <v>2654</v>
      </c>
    </row>
    <row r="414" spans="1:2" x14ac:dyDescent="0.25">
      <c r="A414" t="s">
        <v>830</v>
      </c>
      <c r="B414" t="s">
        <v>2626</v>
      </c>
    </row>
    <row r="415" spans="1:2" x14ac:dyDescent="0.25">
      <c r="A415" t="s">
        <v>831</v>
      </c>
      <c r="B415" t="s">
        <v>2655</v>
      </c>
    </row>
    <row r="416" spans="1:2" x14ac:dyDescent="0.25">
      <c r="A416" t="s">
        <v>832</v>
      </c>
      <c r="B416" t="s">
        <v>2656</v>
      </c>
    </row>
    <row r="417" spans="1:2" x14ac:dyDescent="0.25">
      <c r="A417" t="s">
        <v>833</v>
      </c>
      <c r="B417" t="s">
        <v>2657</v>
      </c>
    </row>
    <row r="418" spans="1:2" x14ac:dyDescent="0.25">
      <c r="A418" t="s">
        <v>834</v>
      </c>
      <c r="B418" t="s">
        <v>2612</v>
      </c>
    </row>
    <row r="419" spans="1:2" x14ac:dyDescent="0.25">
      <c r="A419" t="s">
        <v>835</v>
      </c>
      <c r="B419" t="s">
        <v>2658</v>
      </c>
    </row>
    <row r="420" spans="1:2" x14ac:dyDescent="0.25">
      <c r="A420" t="s">
        <v>836</v>
      </c>
      <c r="B420" t="s">
        <v>2389</v>
      </c>
    </row>
    <row r="421" spans="1:2" x14ac:dyDescent="0.25">
      <c r="A421" t="s">
        <v>837</v>
      </c>
      <c r="B421" t="s">
        <v>2659</v>
      </c>
    </row>
    <row r="422" spans="1:2" x14ac:dyDescent="0.25">
      <c r="A422" t="s">
        <v>838</v>
      </c>
      <c r="B422" t="s">
        <v>2660</v>
      </c>
    </row>
    <row r="423" spans="1:2" x14ac:dyDescent="0.25">
      <c r="A423" t="s">
        <v>839</v>
      </c>
      <c r="B423" t="s">
        <v>2661</v>
      </c>
    </row>
    <row r="424" spans="1:2" x14ac:dyDescent="0.25">
      <c r="A424" t="s">
        <v>840</v>
      </c>
      <c r="B424" t="s">
        <v>2662</v>
      </c>
    </row>
    <row r="425" spans="1:2" x14ac:dyDescent="0.25">
      <c r="A425" t="s">
        <v>841</v>
      </c>
      <c r="B425" t="s">
        <v>2663</v>
      </c>
    </row>
    <row r="426" spans="1:2" x14ac:dyDescent="0.25">
      <c r="A426" t="s">
        <v>842</v>
      </c>
      <c r="B426" t="s">
        <v>2626</v>
      </c>
    </row>
    <row r="427" spans="1:2" x14ac:dyDescent="0.25">
      <c r="A427" t="s">
        <v>843</v>
      </c>
      <c r="B427" t="s">
        <v>2664</v>
      </c>
    </row>
    <row r="428" spans="1:2" x14ac:dyDescent="0.25">
      <c r="A428" t="s">
        <v>844</v>
      </c>
      <c r="B428" t="s">
        <v>2665</v>
      </c>
    </row>
    <row r="429" spans="1:2" x14ac:dyDescent="0.25">
      <c r="A429" t="s">
        <v>845</v>
      </c>
      <c r="B429" t="s">
        <v>2666</v>
      </c>
    </row>
    <row r="430" spans="1:2" x14ac:dyDescent="0.25">
      <c r="A430" t="s">
        <v>846</v>
      </c>
      <c r="B430" t="s">
        <v>2667</v>
      </c>
    </row>
    <row r="431" spans="1:2" x14ac:dyDescent="0.25">
      <c r="A431" t="s">
        <v>847</v>
      </c>
      <c r="B431" t="s">
        <v>2668</v>
      </c>
    </row>
    <row r="432" spans="1:2" x14ac:dyDescent="0.25">
      <c r="A432" t="s">
        <v>848</v>
      </c>
      <c r="B432" t="s">
        <v>2669</v>
      </c>
    </row>
    <row r="433" spans="1:2" x14ac:dyDescent="0.25">
      <c r="A433" t="s">
        <v>849</v>
      </c>
      <c r="B433" t="s">
        <v>2670</v>
      </c>
    </row>
    <row r="434" spans="1:2" x14ac:dyDescent="0.25">
      <c r="A434" t="s">
        <v>850</v>
      </c>
      <c r="B434" t="s">
        <v>2389</v>
      </c>
    </row>
    <row r="435" spans="1:2" x14ac:dyDescent="0.25">
      <c r="A435" t="s">
        <v>851</v>
      </c>
      <c r="B435" t="s">
        <v>2659</v>
      </c>
    </row>
    <row r="436" spans="1:2" x14ac:dyDescent="0.25">
      <c r="A436" t="s">
        <v>852</v>
      </c>
      <c r="B436" t="s">
        <v>2671</v>
      </c>
    </row>
    <row r="437" spans="1:2" x14ac:dyDescent="0.25">
      <c r="A437" t="s">
        <v>853</v>
      </c>
      <c r="B437" t="s">
        <v>2672</v>
      </c>
    </row>
    <row r="438" spans="1:2" x14ac:dyDescent="0.25">
      <c r="A438" t="s">
        <v>854</v>
      </c>
      <c r="B438" t="s">
        <v>2673</v>
      </c>
    </row>
    <row r="439" spans="1:2" x14ac:dyDescent="0.25">
      <c r="A439" t="s">
        <v>855</v>
      </c>
      <c r="B439" t="s">
        <v>2674</v>
      </c>
    </row>
    <row r="440" spans="1:2" x14ac:dyDescent="0.25">
      <c r="A440" t="s">
        <v>856</v>
      </c>
      <c r="B440" t="s">
        <v>2626</v>
      </c>
    </row>
    <row r="441" spans="1:2" x14ac:dyDescent="0.25">
      <c r="A441" t="s">
        <v>857</v>
      </c>
      <c r="B441" t="s">
        <v>2675</v>
      </c>
    </row>
    <row r="442" spans="1:2" x14ac:dyDescent="0.25">
      <c r="A442" t="s">
        <v>858</v>
      </c>
      <c r="B442" t="s">
        <v>2665</v>
      </c>
    </row>
    <row r="443" spans="1:2" x14ac:dyDescent="0.25">
      <c r="A443" t="s">
        <v>859</v>
      </c>
      <c r="B443" t="s">
        <v>2676</v>
      </c>
    </row>
    <row r="444" spans="1:2" x14ac:dyDescent="0.25">
      <c r="A444" t="s">
        <v>860</v>
      </c>
      <c r="B444" t="s">
        <v>2667</v>
      </c>
    </row>
    <row r="445" spans="1:2" x14ac:dyDescent="0.25">
      <c r="A445" t="s">
        <v>861</v>
      </c>
      <c r="B445" t="s">
        <v>2677</v>
      </c>
    </row>
    <row r="446" spans="1:2" x14ac:dyDescent="0.25">
      <c r="A446" t="s">
        <v>862</v>
      </c>
      <c r="B446" t="s">
        <v>2669</v>
      </c>
    </row>
    <row r="447" spans="1:2" x14ac:dyDescent="0.25">
      <c r="A447" t="s">
        <v>863</v>
      </c>
      <c r="B447" t="s">
        <v>2678</v>
      </c>
    </row>
    <row r="448" spans="1:2" x14ac:dyDescent="0.25">
      <c r="A448" t="s">
        <v>864</v>
      </c>
      <c r="B448" t="s">
        <v>2389</v>
      </c>
    </row>
    <row r="449" spans="1:2" x14ac:dyDescent="0.25">
      <c r="A449" t="s">
        <v>865</v>
      </c>
      <c r="B449" t="s">
        <v>2679</v>
      </c>
    </row>
    <row r="450" spans="1:2" x14ac:dyDescent="0.25">
      <c r="A450" t="s">
        <v>866</v>
      </c>
      <c r="B450" t="s">
        <v>2649</v>
      </c>
    </row>
    <row r="451" spans="1:2" x14ac:dyDescent="0.25">
      <c r="A451" t="s">
        <v>867</v>
      </c>
      <c r="B451" t="s">
        <v>2680</v>
      </c>
    </row>
    <row r="452" spans="1:2" x14ac:dyDescent="0.25">
      <c r="A452" t="s">
        <v>868</v>
      </c>
      <c r="B452" t="s">
        <v>2681</v>
      </c>
    </row>
    <row r="453" spans="1:2" x14ac:dyDescent="0.25">
      <c r="A453" t="s">
        <v>869</v>
      </c>
      <c r="B453" t="s">
        <v>2682</v>
      </c>
    </row>
    <row r="454" spans="1:2" x14ac:dyDescent="0.25">
      <c r="A454" t="s">
        <v>870</v>
      </c>
      <c r="B454" t="s">
        <v>2683</v>
      </c>
    </row>
    <row r="455" spans="1:2" x14ac:dyDescent="0.25">
      <c r="A455" t="s">
        <v>871</v>
      </c>
      <c r="B455" t="s">
        <v>2684</v>
      </c>
    </row>
    <row r="456" spans="1:2" x14ac:dyDescent="0.25">
      <c r="A456" t="s">
        <v>872</v>
      </c>
      <c r="B456" t="s">
        <v>2685</v>
      </c>
    </row>
    <row r="457" spans="1:2" x14ac:dyDescent="0.25">
      <c r="A457" t="s">
        <v>873</v>
      </c>
      <c r="B457" t="s">
        <v>2686</v>
      </c>
    </row>
    <row r="458" spans="1:2" x14ac:dyDescent="0.25">
      <c r="A458" t="s">
        <v>874</v>
      </c>
      <c r="B458" t="s">
        <v>2687</v>
      </c>
    </row>
    <row r="459" spans="1:2" x14ac:dyDescent="0.25">
      <c r="A459" t="s">
        <v>875</v>
      </c>
      <c r="B459" t="s">
        <v>2656</v>
      </c>
    </row>
    <row r="460" spans="1:2" x14ac:dyDescent="0.25">
      <c r="A460" t="s">
        <v>876</v>
      </c>
      <c r="B460" t="s">
        <v>2688</v>
      </c>
    </row>
    <row r="461" spans="1:2" x14ac:dyDescent="0.25">
      <c r="A461" t="s">
        <v>877</v>
      </c>
      <c r="B461" t="s">
        <v>2689</v>
      </c>
    </row>
    <row r="462" spans="1:2" x14ac:dyDescent="0.25">
      <c r="A462" t="s">
        <v>878</v>
      </c>
      <c r="B462" t="s">
        <v>2690</v>
      </c>
    </row>
    <row r="463" spans="1:2" x14ac:dyDescent="0.25">
      <c r="A463" t="s">
        <v>879</v>
      </c>
      <c r="B463" t="s">
        <v>2389</v>
      </c>
    </row>
    <row r="464" spans="1:2" x14ac:dyDescent="0.25">
      <c r="A464" t="s">
        <v>880</v>
      </c>
      <c r="B464" t="s">
        <v>2691</v>
      </c>
    </row>
    <row r="465" spans="1:2" x14ac:dyDescent="0.25">
      <c r="A465" t="s">
        <v>881</v>
      </c>
      <c r="B465" t="s">
        <v>2649</v>
      </c>
    </row>
    <row r="466" spans="1:2" x14ac:dyDescent="0.25">
      <c r="A466" t="s">
        <v>882</v>
      </c>
      <c r="B466" t="s">
        <v>2641</v>
      </c>
    </row>
    <row r="467" spans="1:2" x14ac:dyDescent="0.25">
      <c r="A467" t="s">
        <v>883</v>
      </c>
      <c r="B467" t="s">
        <v>2692</v>
      </c>
    </row>
    <row r="468" spans="1:2" x14ac:dyDescent="0.25">
      <c r="A468" t="s">
        <v>884</v>
      </c>
      <c r="B468" t="s">
        <v>2693</v>
      </c>
    </row>
    <row r="469" spans="1:2" x14ac:dyDescent="0.25">
      <c r="A469" t="s">
        <v>885</v>
      </c>
      <c r="B469" t="s">
        <v>2609</v>
      </c>
    </row>
    <row r="470" spans="1:2" x14ac:dyDescent="0.25">
      <c r="A470" t="s">
        <v>886</v>
      </c>
      <c r="B470" t="s">
        <v>2694</v>
      </c>
    </row>
    <row r="471" spans="1:2" x14ac:dyDescent="0.25">
      <c r="A471" t="s">
        <v>887</v>
      </c>
      <c r="B471" t="s">
        <v>2695</v>
      </c>
    </row>
    <row r="472" spans="1:2" x14ac:dyDescent="0.25">
      <c r="A472" t="s">
        <v>888</v>
      </c>
      <c r="B472" t="s">
        <v>2696</v>
      </c>
    </row>
    <row r="473" spans="1:2" x14ac:dyDescent="0.25">
      <c r="A473" t="s">
        <v>889</v>
      </c>
      <c r="B473" t="s">
        <v>2697</v>
      </c>
    </row>
    <row r="474" spans="1:2" x14ac:dyDescent="0.25">
      <c r="A474" t="s">
        <v>890</v>
      </c>
      <c r="B474" t="s">
        <v>2389</v>
      </c>
    </row>
    <row r="475" spans="1:2" x14ac:dyDescent="0.25">
      <c r="A475" t="s">
        <v>891</v>
      </c>
      <c r="B475" t="s">
        <v>2691</v>
      </c>
    </row>
    <row r="476" spans="1:2" x14ac:dyDescent="0.25">
      <c r="A476" t="s">
        <v>892</v>
      </c>
      <c r="B476" t="s">
        <v>2698</v>
      </c>
    </row>
    <row r="477" spans="1:2" x14ac:dyDescent="0.25">
      <c r="A477" t="s">
        <v>893</v>
      </c>
      <c r="B477" t="s">
        <v>2699</v>
      </c>
    </row>
    <row r="478" spans="1:2" x14ac:dyDescent="0.25">
      <c r="A478" t="s">
        <v>894</v>
      </c>
      <c r="B478" t="s">
        <v>2641</v>
      </c>
    </row>
    <row r="479" spans="1:2" x14ac:dyDescent="0.25">
      <c r="A479" t="s">
        <v>895</v>
      </c>
      <c r="B479" t="s">
        <v>2700</v>
      </c>
    </row>
    <row r="480" spans="1:2" x14ac:dyDescent="0.25">
      <c r="A480" t="s">
        <v>896</v>
      </c>
      <c r="B480" t="s">
        <v>2701</v>
      </c>
    </row>
    <row r="481" spans="1:2" x14ac:dyDescent="0.25">
      <c r="A481" t="s">
        <v>897</v>
      </c>
      <c r="B481" t="s">
        <v>2702</v>
      </c>
    </row>
    <row r="482" spans="1:2" x14ac:dyDescent="0.25">
      <c r="A482" t="s">
        <v>898</v>
      </c>
      <c r="B482" t="s">
        <v>2609</v>
      </c>
    </row>
    <row r="483" spans="1:2" x14ac:dyDescent="0.25">
      <c r="A483" t="s">
        <v>899</v>
      </c>
      <c r="B483" t="s">
        <v>2703</v>
      </c>
    </row>
    <row r="484" spans="1:2" x14ac:dyDescent="0.25">
      <c r="A484" t="s">
        <v>900</v>
      </c>
      <c r="B484" t="s">
        <v>2704</v>
      </c>
    </row>
    <row r="485" spans="1:2" x14ac:dyDescent="0.25">
      <c r="A485" t="s">
        <v>901</v>
      </c>
      <c r="B485" t="s">
        <v>2389</v>
      </c>
    </row>
    <row r="486" spans="1:2" x14ac:dyDescent="0.25">
      <c r="A486" t="s">
        <v>902</v>
      </c>
      <c r="B486" t="s">
        <v>2705</v>
      </c>
    </row>
    <row r="487" spans="1:2" ht="24" x14ac:dyDescent="0.4">
      <c r="A487" s="16" t="s">
        <v>2706</v>
      </c>
    </row>
    <row r="488" spans="1:2" x14ac:dyDescent="0.25">
      <c r="A488" t="s">
        <v>903</v>
      </c>
      <c r="B488" t="s">
        <v>2707</v>
      </c>
    </row>
    <row r="489" spans="1:2" x14ac:dyDescent="0.25">
      <c r="A489" t="s">
        <v>904</v>
      </c>
      <c r="B489" t="s">
        <v>2708</v>
      </c>
    </row>
    <row r="490" spans="1:2" x14ac:dyDescent="0.25">
      <c r="A490" t="s">
        <v>905</v>
      </c>
      <c r="B490" t="s">
        <v>2709</v>
      </c>
    </row>
    <row r="491" spans="1:2" x14ac:dyDescent="0.25">
      <c r="A491" t="s">
        <v>906</v>
      </c>
      <c r="B491" t="s">
        <v>2710</v>
      </c>
    </row>
    <row r="492" spans="1:2" x14ac:dyDescent="0.25">
      <c r="A492" t="s">
        <v>907</v>
      </c>
      <c r="B492" t="s">
        <v>2711</v>
      </c>
    </row>
    <row r="493" spans="1:2" x14ac:dyDescent="0.25">
      <c r="A493" t="s">
        <v>908</v>
      </c>
      <c r="B493" t="s">
        <v>2712</v>
      </c>
    </row>
    <row r="494" spans="1:2" x14ac:dyDescent="0.25">
      <c r="A494" t="s">
        <v>909</v>
      </c>
      <c r="B494" t="s">
        <v>2713</v>
      </c>
    </row>
    <row r="495" spans="1:2" x14ac:dyDescent="0.25">
      <c r="A495" t="s">
        <v>910</v>
      </c>
      <c r="B495" t="s">
        <v>2714</v>
      </c>
    </row>
    <row r="496" spans="1:2" x14ac:dyDescent="0.25">
      <c r="A496" t="s">
        <v>911</v>
      </c>
      <c r="B496" t="s">
        <v>2715</v>
      </c>
    </row>
    <row r="497" spans="1:2" x14ac:dyDescent="0.25">
      <c r="A497" t="s">
        <v>912</v>
      </c>
      <c r="B497" t="s">
        <v>2716</v>
      </c>
    </row>
    <row r="498" spans="1:2" x14ac:dyDescent="0.25">
      <c r="A498" t="s">
        <v>913</v>
      </c>
      <c r="B498" t="s">
        <v>2717</v>
      </c>
    </row>
    <row r="499" spans="1:2" x14ac:dyDescent="0.25">
      <c r="A499" t="s">
        <v>914</v>
      </c>
      <c r="B499" t="s">
        <v>2718</v>
      </c>
    </row>
    <row r="500" spans="1:2" x14ac:dyDescent="0.25">
      <c r="A500" t="s">
        <v>915</v>
      </c>
      <c r="B500" t="s">
        <v>2719</v>
      </c>
    </row>
    <row r="501" spans="1:2" x14ac:dyDescent="0.25">
      <c r="A501" t="s">
        <v>916</v>
      </c>
      <c r="B501" t="s">
        <v>2389</v>
      </c>
    </row>
    <row r="502" spans="1:2" x14ac:dyDescent="0.25">
      <c r="A502" t="s">
        <v>917</v>
      </c>
      <c r="B502" t="s">
        <v>2720</v>
      </c>
    </row>
    <row r="503" spans="1:2" x14ac:dyDescent="0.25">
      <c r="A503" t="s">
        <v>918</v>
      </c>
      <c r="B503" t="s">
        <v>2721</v>
      </c>
    </row>
    <row r="504" spans="1:2" x14ac:dyDescent="0.25">
      <c r="A504" t="s">
        <v>919</v>
      </c>
      <c r="B504" t="s">
        <v>2722</v>
      </c>
    </row>
    <row r="505" spans="1:2" x14ac:dyDescent="0.25">
      <c r="A505" t="s">
        <v>920</v>
      </c>
      <c r="B505" t="s">
        <v>2723</v>
      </c>
    </row>
    <row r="506" spans="1:2" x14ac:dyDescent="0.25">
      <c r="A506" t="s">
        <v>921</v>
      </c>
      <c r="B506" t="s">
        <v>2719</v>
      </c>
    </row>
    <row r="507" spans="1:2" x14ac:dyDescent="0.25">
      <c r="A507" t="s">
        <v>922</v>
      </c>
      <c r="B507" t="s">
        <v>2389</v>
      </c>
    </row>
    <row r="508" spans="1:2" x14ac:dyDescent="0.25">
      <c r="A508" t="s">
        <v>923</v>
      </c>
      <c r="B508" t="s">
        <v>2724</v>
      </c>
    </row>
    <row r="509" spans="1:2" x14ac:dyDescent="0.25">
      <c r="A509" t="s">
        <v>924</v>
      </c>
      <c r="B509" t="s">
        <v>2725</v>
      </c>
    </row>
    <row r="510" spans="1:2" x14ac:dyDescent="0.25">
      <c r="A510" t="s">
        <v>925</v>
      </c>
      <c r="B510" t="s">
        <v>2726</v>
      </c>
    </row>
    <row r="511" spans="1:2" x14ac:dyDescent="0.25">
      <c r="A511" t="s">
        <v>926</v>
      </c>
      <c r="B511" t="s">
        <v>2727</v>
      </c>
    </row>
    <row r="512" spans="1:2" x14ac:dyDescent="0.25">
      <c r="A512" t="s">
        <v>927</v>
      </c>
      <c r="B512" t="s">
        <v>2640</v>
      </c>
    </row>
    <row r="513" spans="1:2" x14ac:dyDescent="0.25">
      <c r="A513" t="s">
        <v>928</v>
      </c>
      <c r="B513" t="s">
        <v>2728</v>
      </c>
    </row>
    <row r="514" spans="1:2" x14ac:dyDescent="0.25">
      <c r="A514" t="s">
        <v>929</v>
      </c>
      <c r="B514" t="s">
        <v>2389</v>
      </c>
    </row>
    <row r="515" spans="1:2" ht="24" x14ac:dyDescent="0.4">
      <c r="A515" s="16" t="s">
        <v>2729</v>
      </c>
    </row>
    <row r="516" spans="1:2" x14ac:dyDescent="0.25">
      <c r="A516" t="s">
        <v>930</v>
      </c>
      <c r="B516" t="s">
        <v>2730</v>
      </c>
    </row>
    <row r="517" spans="1:2" x14ac:dyDescent="0.25">
      <c r="A517" t="s">
        <v>931</v>
      </c>
      <c r="B517" t="s">
        <v>2731</v>
      </c>
    </row>
    <row r="518" spans="1:2" x14ac:dyDescent="0.25">
      <c r="A518" t="s">
        <v>932</v>
      </c>
      <c r="B518" t="s">
        <v>2732</v>
      </c>
    </row>
    <row r="519" spans="1:2" x14ac:dyDescent="0.25">
      <c r="A519" t="s">
        <v>933</v>
      </c>
      <c r="B519" t="s">
        <v>2733</v>
      </c>
    </row>
    <row r="520" spans="1:2" x14ac:dyDescent="0.25">
      <c r="A520" t="s">
        <v>934</v>
      </c>
      <c r="B520" t="s">
        <v>2734</v>
      </c>
    </row>
    <row r="521" spans="1:2" x14ac:dyDescent="0.25">
      <c r="A521" t="s">
        <v>935</v>
      </c>
      <c r="B521" t="s">
        <v>2735</v>
      </c>
    </row>
    <row r="522" spans="1:2" x14ac:dyDescent="0.25">
      <c r="A522" t="s">
        <v>936</v>
      </c>
      <c r="B522" t="s">
        <v>2736</v>
      </c>
    </row>
    <row r="523" spans="1:2" x14ac:dyDescent="0.25">
      <c r="A523" t="s">
        <v>937</v>
      </c>
      <c r="B523" t="s">
        <v>2737</v>
      </c>
    </row>
    <row r="524" spans="1:2" x14ac:dyDescent="0.25">
      <c r="A524" t="s">
        <v>938</v>
      </c>
      <c r="B524" t="s">
        <v>2738</v>
      </c>
    </row>
    <row r="525" spans="1:2" x14ac:dyDescent="0.25">
      <c r="A525" t="s">
        <v>939</v>
      </c>
      <c r="B525" t="s">
        <v>2739</v>
      </c>
    </row>
    <row r="526" spans="1:2" x14ac:dyDescent="0.25">
      <c r="A526" t="s">
        <v>940</v>
      </c>
      <c r="B526" t="s">
        <v>2740</v>
      </c>
    </row>
    <row r="527" spans="1:2" x14ac:dyDescent="0.25">
      <c r="A527" t="s">
        <v>941</v>
      </c>
      <c r="B527" t="s">
        <v>2741</v>
      </c>
    </row>
    <row r="528" spans="1:2" x14ac:dyDescent="0.25">
      <c r="A528" t="s">
        <v>942</v>
      </c>
      <c r="B528" t="s">
        <v>2742</v>
      </c>
    </row>
    <row r="529" spans="1:2" x14ac:dyDescent="0.25">
      <c r="A529" t="s">
        <v>943</v>
      </c>
      <c r="B529" t="s">
        <v>2743</v>
      </c>
    </row>
    <row r="530" spans="1:2" x14ac:dyDescent="0.25">
      <c r="A530" t="s">
        <v>944</v>
      </c>
      <c r="B530" t="s">
        <v>2744</v>
      </c>
    </row>
    <row r="531" spans="1:2" x14ac:dyDescent="0.25">
      <c r="A531" t="s">
        <v>945</v>
      </c>
      <c r="B531" t="s">
        <v>2745</v>
      </c>
    </row>
    <row r="532" spans="1:2" x14ac:dyDescent="0.25">
      <c r="A532" t="s">
        <v>946</v>
      </c>
      <c r="B532" t="s">
        <v>2746</v>
      </c>
    </row>
    <row r="533" spans="1:2" x14ac:dyDescent="0.25">
      <c r="A533" t="s">
        <v>947</v>
      </c>
      <c r="B533" t="s">
        <v>2747</v>
      </c>
    </row>
    <row r="534" spans="1:2" x14ac:dyDescent="0.25">
      <c r="A534" t="s">
        <v>948</v>
      </c>
      <c r="B534" t="s">
        <v>2748</v>
      </c>
    </row>
    <row r="535" spans="1:2" x14ac:dyDescent="0.25">
      <c r="A535" t="s">
        <v>949</v>
      </c>
      <c r="B535" t="s">
        <v>2749</v>
      </c>
    </row>
    <row r="536" spans="1:2" x14ac:dyDescent="0.25">
      <c r="A536" t="s">
        <v>950</v>
      </c>
      <c r="B536" t="s">
        <v>2389</v>
      </c>
    </row>
    <row r="537" spans="1:2" x14ac:dyDescent="0.25">
      <c r="A537" t="s">
        <v>951</v>
      </c>
      <c r="B537" t="s">
        <v>2750</v>
      </c>
    </row>
    <row r="538" spans="1:2" x14ac:dyDescent="0.25">
      <c r="A538" t="s">
        <v>952</v>
      </c>
      <c r="B538" t="s">
        <v>2751</v>
      </c>
    </row>
    <row r="539" spans="1:2" ht="24" x14ac:dyDescent="0.4">
      <c r="A539" s="16" t="s">
        <v>2752</v>
      </c>
    </row>
    <row r="540" spans="1:2" x14ac:dyDescent="0.25">
      <c r="A540" t="s">
        <v>953</v>
      </c>
      <c r="B540" t="s">
        <v>2753</v>
      </c>
    </row>
    <row r="541" spans="1:2" x14ac:dyDescent="0.25">
      <c r="A541" t="s">
        <v>954</v>
      </c>
      <c r="B541" t="s">
        <v>2754</v>
      </c>
    </row>
    <row r="542" spans="1:2" x14ac:dyDescent="0.25">
      <c r="A542" t="s">
        <v>955</v>
      </c>
      <c r="B542" t="s">
        <v>2755</v>
      </c>
    </row>
    <row r="543" spans="1:2" x14ac:dyDescent="0.25">
      <c r="A543" t="s">
        <v>956</v>
      </c>
      <c r="B543" t="s">
        <v>2756</v>
      </c>
    </row>
    <row r="544" spans="1:2" x14ac:dyDescent="0.25">
      <c r="A544" t="s">
        <v>957</v>
      </c>
      <c r="B544" t="s">
        <v>2757</v>
      </c>
    </row>
    <row r="545" spans="1:2" x14ac:dyDescent="0.25">
      <c r="A545" t="s">
        <v>958</v>
      </c>
      <c r="B545" t="s">
        <v>2758</v>
      </c>
    </row>
    <row r="546" spans="1:2" x14ac:dyDescent="0.25">
      <c r="A546" t="s">
        <v>959</v>
      </c>
      <c r="B546" t="s">
        <v>2759</v>
      </c>
    </row>
    <row r="547" spans="1:2" x14ac:dyDescent="0.25">
      <c r="A547" t="s">
        <v>960</v>
      </c>
      <c r="B547" t="s">
        <v>2760</v>
      </c>
    </row>
    <row r="548" spans="1:2" x14ac:dyDescent="0.25">
      <c r="A548" t="s">
        <v>961</v>
      </c>
      <c r="B548" t="s">
        <v>2761</v>
      </c>
    </row>
    <row r="549" spans="1:2" x14ac:dyDescent="0.25">
      <c r="A549" t="s">
        <v>962</v>
      </c>
      <c r="B549" t="s">
        <v>2762</v>
      </c>
    </row>
    <row r="550" spans="1:2" x14ac:dyDescent="0.25">
      <c r="A550" t="s">
        <v>963</v>
      </c>
      <c r="B550" t="s">
        <v>2763</v>
      </c>
    </row>
    <row r="551" spans="1:2" x14ac:dyDescent="0.25">
      <c r="A551" t="s">
        <v>964</v>
      </c>
      <c r="B551" t="s">
        <v>2764</v>
      </c>
    </row>
    <row r="552" spans="1:2" x14ac:dyDescent="0.25">
      <c r="A552" t="s">
        <v>965</v>
      </c>
      <c r="B552" t="s">
        <v>2765</v>
      </c>
    </row>
    <row r="553" spans="1:2" x14ac:dyDescent="0.25">
      <c r="A553" t="s">
        <v>966</v>
      </c>
      <c r="B553" t="s">
        <v>2766</v>
      </c>
    </row>
    <row r="554" spans="1:2" x14ac:dyDescent="0.25">
      <c r="A554" t="s">
        <v>967</v>
      </c>
      <c r="B554" t="s">
        <v>2767</v>
      </c>
    </row>
    <row r="555" spans="1:2" x14ac:dyDescent="0.25">
      <c r="A555" t="s">
        <v>968</v>
      </c>
      <c r="B555" t="s">
        <v>2768</v>
      </c>
    </row>
    <row r="556" spans="1:2" x14ac:dyDescent="0.25">
      <c r="A556" t="s">
        <v>969</v>
      </c>
      <c r="B556" t="s">
        <v>2769</v>
      </c>
    </row>
    <row r="557" spans="1:2" x14ac:dyDescent="0.25">
      <c r="A557" t="s">
        <v>970</v>
      </c>
      <c r="B557" t="s">
        <v>2770</v>
      </c>
    </row>
    <row r="558" spans="1:2" x14ac:dyDescent="0.25">
      <c r="A558" t="s">
        <v>971</v>
      </c>
      <c r="B558" t="s">
        <v>2771</v>
      </c>
    </row>
    <row r="559" spans="1:2" x14ac:dyDescent="0.25">
      <c r="A559" t="s">
        <v>972</v>
      </c>
      <c r="B559" t="s">
        <v>2772</v>
      </c>
    </row>
    <row r="560" spans="1:2" x14ac:dyDescent="0.25">
      <c r="A560" t="s">
        <v>973</v>
      </c>
      <c r="B560" t="s">
        <v>2773</v>
      </c>
    </row>
    <row r="561" spans="1:2" x14ac:dyDescent="0.25">
      <c r="A561" t="s">
        <v>974</v>
      </c>
      <c r="B561" t="s">
        <v>2774</v>
      </c>
    </row>
    <row r="562" spans="1:2" x14ac:dyDescent="0.25">
      <c r="A562" t="s">
        <v>975</v>
      </c>
      <c r="B562" t="s">
        <v>2775</v>
      </c>
    </row>
    <row r="563" spans="1:2" x14ac:dyDescent="0.25">
      <c r="A563" t="s">
        <v>976</v>
      </c>
      <c r="B563" t="s">
        <v>2776</v>
      </c>
    </row>
    <row r="564" spans="1:2" x14ac:dyDescent="0.25">
      <c r="A564" t="s">
        <v>977</v>
      </c>
      <c r="B564" t="s">
        <v>2777</v>
      </c>
    </row>
    <row r="565" spans="1:2" x14ac:dyDescent="0.25">
      <c r="A565" t="s">
        <v>978</v>
      </c>
      <c r="B565" t="s">
        <v>2778</v>
      </c>
    </row>
    <row r="566" spans="1:2" x14ac:dyDescent="0.25">
      <c r="A566" t="s">
        <v>979</v>
      </c>
      <c r="B566" t="s">
        <v>2779</v>
      </c>
    </row>
    <row r="567" spans="1:2" x14ac:dyDescent="0.25">
      <c r="A567" t="s">
        <v>980</v>
      </c>
      <c r="B567" t="s">
        <v>2780</v>
      </c>
    </row>
    <row r="568" spans="1:2" x14ac:dyDescent="0.25">
      <c r="A568" t="s">
        <v>981</v>
      </c>
      <c r="B568" t="s">
        <v>2781</v>
      </c>
    </row>
    <row r="569" spans="1:2" x14ac:dyDescent="0.25">
      <c r="A569" t="s">
        <v>982</v>
      </c>
      <c r="B569" t="s">
        <v>2782</v>
      </c>
    </row>
    <row r="570" spans="1:2" x14ac:dyDescent="0.25">
      <c r="A570" t="s">
        <v>983</v>
      </c>
      <c r="B570" t="s">
        <v>2783</v>
      </c>
    </row>
    <row r="571" spans="1:2" x14ac:dyDescent="0.25">
      <c r="A571" t="s">
        <v>984</v>
      </c>
      <c r="B571" t="s">
        <v>2784</v>
      </c>
    </row>
    <row r="572" spans="1:2" x14ac:dyDescent="0.25">
      <c r="A572" t="s">
        <v>985</v>
      </c>
      <c r="B572" t="s">
        <v>2785</v>
      </c>
    </row>
    <row r="573" spans="1:2" x14ac:dyDescent="0.25">
      <c r="A573" t="s">
        <v>986</v>
      </c>
      <c r="B573" t="s">
        <v>2389</v>
      </c>
    </row>
    <row r="574" spans="1:2" ht="24" x14ac:dyDescent="0.4">
      <c r="A574" s="16" t="s">
        <v>2786</v>
      </c>
    </row>
    <row r="575" spans="1:2" x14ac:dyDescent="0.25">
      <c r="A575" t="s">
        <v>987</v>
      </c>
      <c r="B575" t="s">
        <v>2787</v>
      </c>
    </row>
    <row r="576" spans="1:2" x14ac:dyDescent="0.25">
      <c r="A576" t="s">
        <v>988</v>
      </c>
      <c r="B576" t="s">
        <v>2788</v>
      </c>
    </row>
    <row r="577" spans="1:2" x14ac:dyDescent="0.25">
      <c r="A577" t="s">
        <v>989</v>
      </c>
      <c r="B577" t="s">
        <v>2789</v>
      </c>
    </row>
    <row r="578" spans="1:2" x14ac:dyDescent="0.25">
      <c r="A578" t="s">
        <v>990</v>
      </c>
      <c r="B578" t="s">
        <v>2790</v>
      </c>
    </row>
    <row r="579" spans="1:2" x14ac:dyDescent="0.25">
      <c r="A579" t="s">
        <v>991</v>
      </c>
      <c r="B579" t="s">
        <v>2791</v>
      </c>
    </row>
    <row r="580" spans="1:2" ht="24" x14ac:dyDescent="0.4">
      <c r="A580" s="16" t="s">
        <v>2792</v>
      </c>
    </row>
    <row r="581" spans="1:2" x14ac:dyDescent="0.25">
      <c r="A581" t="s">
        <v>992</v>
      </c>
      <c r="B581" t="s">
        <v>2793</v>
      </c>
    </row>
    <row r="582" spans="1:2" x14ac:dyDescent="0.25">
      <c r="A582" t="s">
        <v>993</v>
      </c>
      <c r="B582" t="s">
        <v>2794</v>
      </c>
    </row>
    <row r="583" spans="1:2" x14ac:dyDescent="0.25">
      <c r="A583" t="s">
        <v>994</v>
      </c>
      <c r="B583" t="s">
        <v>2795</v>
      </c>
    </row>
    <row r="584" spans="1:2" x14ac:dyDescent="0.25">
      <c r="A584" t="s">
        <v>995</v>
      </c>
      <c r="B584" t="s">
        <v>2796</v>
      </c>
    </row>
    <row r="585" spans="1:2" x14ac:dyDescent="0.25">
      <c r="A585" t="s">
        <v>996</v>
      </c>
      <c r="B585" t="s">
        <v>2797</v>
      </c>
    </row>
    <row r="586" spans="1:2" x14ac:dyDescent="0.25">
      <c r="A586" t="s">
        <v>997</v>
      </c>
      <c r="B586" t="s">
        <v>2798</v>
      </c>
    </row>
    <row r="587" spans="1:2" x14ac:dyDescent="0.25">
      <c r="A587" t="s">
        <v>998</v>
      </c>
      <c r="B587" t="s">
        <v>2799</v>
      </c>
    </row>
    <row r="588" spans="1:2" x14ac:dyDescent="0.25">
      <c r="A588" t="s">
        <v>999</v>
      </c>
      <c r="B588" t="s">
        <v>2800</v>
      </c>
    </row>
    <row r="589" spans="1:2" x14ac:dyDescent="0.25">
      <c r="A589" t="s">
        <v>1000</v>
      </c>
      <c r="B589" t="s">
        <v>2801</v>
      </c>
    </row>
    <row r="590" spans="1:2" x14ac:dyDescent="0.25">
      <c r="A590" t="s">
        <v>1001</v>
      </c>
      <c r="B590" t="s">
        <v>2802</v>
      </c>
    </row>
    <row r="591" spans="1:2" x14ac:dyDescent="0.25">
      <c r="A591" t="s">
        <v>1002</v>
      </c>
      <c r="B591" t="s">
        <v>2803</v>
      </c>
    </row>
    <row r="592" spans="1:2" x14ac:dyDescent="0.25">
      <c r="A592" t="s">
        <v>1003</v>
      </c>
      <c r="B592" t="s">
        <v>2804</v>
      </c>
    </row>
    <row r="593" spans="1:2" ht="24" x14ac:dyDescent="0.4">
      <c r="A593" s="16" t="s">
        <v>2805</v>
      </c>
    </row>
    <row r="594" spans="1:2" x14ac:dyDescent="0.25">
      <c r="A594" t="s">
        <v>1004</v>
      </c>
      <c r="B594" t="s">
        <v>2806</v>
      </c>
    </row>
    <row r="595" spans="1:2" x14ac:dyDescent="0.25">
      <c r="A595" t="s">
        <v>1005</v>
      </c>
      <c r="B595" t="s">
        <v>2807</v>
      </c>
    </row>
    <row r="596" spans="1:2" x14ac:dyDescent="0.25">
      <c r="A596" t="s">
        <v>1006</v>
      </c>
      <c r="B596" t="s">
        <v>2808</v>
      </c>
    </row>
    <row r="597" spans="1:2" x14ac:dyDescent="0.25">
      <c r="A597" t="s">
        <v>1007</v>
      </c>
      <c r="B597" t="s">
        <v>2809</v>
      </c>
    </row>
    <row r="598" spans="1:2" x14ac:dyDescent="0.25">
      <c r="A598" t="s">
        <v>1008</v>
      </c>
      <c r="B598" t="s">
        <v>2810</v>
      </c>
    </row>
    <row r="599" spans="1:2" x14ac:dyDescent="0.25">
      <c r="A599" t="s">
        <v>1009</v>
      </c>
      <c r="B599" t="s">
        <v>2811</v>
      </c>
    </row>
    <row r="600" spans="1:2" x14ac:dyDescent="0.25">
      <c r="A600" t="s">
        <v>1010</v>
      </c>
      <c r="B600" t="s">
        <v>2812</v>
      </c>
    </row>
    <row r="601" spans="1:2" x14ac:dyDescent="0.25">
      <c r="A601" t="s">
        <v>1011</v>
      </c>
      <c r="B601" t="s">
        <v>2813</v>
      </c>
    </row>
    <row r="602" spans="1:2" x14ac:dyDescent="0.25">
      <c r="A602" t="s">
        <v>1012</v>
      </c>
      <c r="B602" t="s">
        <v>2814</v>
      </c>
    </row>
    <row r="603" spans="1:2" x14ac:dyDescent="0.25">
      <c r="A603" t="s">
        <v>1013</v>
      </c>
      <c r="B603" t="s">
        <v>2815</v>
      </c>
    </row>
    <row r="604" spans="1:2" x14ac:dyDescent="0.25">
      <c r="A604" t="s">
        <v>1014</v>
      </c>
      <c r="B604" t="s">
        <v>2816</v>
      </c>
    </row>
    <row r="605" spans="1:2" x14ac:dyDescent="0.25">
      <c r="A605" t="s">
        <v>1015</v>
      </c>
      <c r="B605" t="s">
        <v>2817</v>
      </c>
    </row>
    <row r="606" spans="1:2" x14ac:dyDescent="0.25">
      <c r="A606" t="s">
        <v>1016</v>
      </c>
      <c r="B606" t="s">
        <v>2818</v>
      </c>
    </row>
    <row r="607" spans="1:2" x14ac:dyDescent="0.25">
      <c r="A607" t="s">
        <v>1017</v>
      </c>
      <c r="B607" t="s">
        <v>2819</v>
      </c>
    </row>
    <row r="608" spans="1:2" x14ac:dyDescent="0.25">
      <c r="A608" t="s">
        <v>1018</v>
      </c>
      <c r="B608" t="s">
        <v>2820</v>
      </c>
    </row>
    <row r="609" spans="1:2" x14ac:dyDescent="0.25">
      <c r="A609" t="s">
        <v>1019</v>
      </c>
      <c r="B609" t="s">
        <v>2821</v>
      </c>
    </row>
    <row r="610" spans="1:2" x14ac:dyDescent="0.25">
      <c r="A610" t="s">
        <v>1020</v>
      </c>
      <c r="B610" t="s">
        <v>2822</v>
      </c>
    </row>
    <row r="611" spans="1:2" x14ac:dyDescent="0.25">
      <c r="A611" t="s">
        <v>1021</v>
      </c>
      <c r="B611" t="s">
        <v>2823</v>
      </c>
    </row>
    <row r="612" spans="1:2" x14ac:dyDescent="0.25">
      <c r="A612" t="s">
        <v>1022</v>
      </c>
      <c r="B612" t="s">
        <v>2824</v>
      </c>
    </row>
    <row r="613" spans="1:2" x14ac:dyDescent="0.25">
      <c r="A613" t="s">
        <v>1023</v>
      </c>
      <c r="B613" t="s">
        <v>2389</v>
      </c>
    </row>
    <row r="614" spans="1:2" x14ac:dyDescent="0.25">
      <c r="A614" t="s">
        <v>1024</v>
      </c>
      <c r="B614" t="s">
        <v>2825</v>
      </c>
    </row>
    <row r="615" spans="1:2" x14ac:dyDescent="0.25">
      <c r="A615" t="s">
        <v>1025</v>
      </c>
      <c r="B615" t="s">
        <v>2826</v>
      </c>
    </row>
    <row r="616" spans="1:2" x14ac:dyDescent="0.25">
      <c r="A616" t="s">
        <v>1026</v>
      </c>
      <c r="B616" t="s">
        <v>2827</v>
      </c>
    </row>
    <row r="617" spans="1:2" x14ac:dyDescent="0.25">
      <c r="A617" t="s">
        <v>1027</v>
      </c>
      <c r="B617" t="s">
        <v>2828</v>
      </c>
    </row>
    <row r="618" spans="1:2" x14ac:dyDescent="0.25">
      <c r="A618" t="s">
        <v>1028</v>
      </c>
      <c r="B618" t="s">
        <v>2829</v>
      </c>
    </row>
    <row r="619" spans="1:2" x14ac:dyDescent="0.25">
      <c r="A619" t="s">
        <v>1029</v>
      </c>
      <c r="B619" t="s">
        <v>2830</v>
      </c>
    </row>
    <row r="620" spans="1:2" x14ac:dyDescent="0.25">
      <c r="A620" t="s">
        <v>1030</v>
      </c>
      <c r="B620" t="s">
        <v>2831</v>
      </c>
    </row>
    <row r="621" spans="1:2" x14ac:dyDescent="0.25">
      <c r="A621" t="s">
        <v>1031</v>
      </c>
      <c r="B621" t="s">
        <v>2832</v>
      </c>
    </row>
    <row r="622" spans="1:2" x14ac:dyDescent="0.25">
      <c r="A622" t="s">
        <v>1032</v>
      </c>
      <c r="B622" t="s">
        <v>2833</v>
      </c>
    </row>
    <row r="623" spans="1:2" x14ac:dyDescent="0.25">
      <c r="A623" t="s">
        <v>1033</v>
      </c>
      <c r="B623" t="s">
        <v>2834</v>
      </c>
    </row>
    <row r="624" spans="1:2" x14ac:dyDescent="0.25">
      <c r="A624" t="s">
        <v>1034</v>
      </c>
      <c r="B624" t="s">
        <v>2835</v>
      </c>
    </row>
    <row r="625" spans="1:2" x14ac:dyDescent="0.25">
      <c r="A625" t="s">
        <v>1035</v>
      </c>
      <c r="B625" t="s">
        <v>2836</v>
      </c>
    </row>
    <row r="626" spans="1:2" x14ac:dyDescent="0.25">
      <c r="A626" t="s">
        <v>1036</v>
      </c>
      <c r="B626" t="s">
        <v>2837</v>
      </c>
    </row>
    <row r="627" spans="1:2" x14ac:dyDescent="0.25">
      <c r="A627" t="s">
        <v>1037</v>
      </c>
      <c r="B627" t="s">
        <v>2838</v>
      </c>
    </row>
    <row r="628" spans="1:2" x14ac:dyDescent="0.25">
      <c r="A628" t="s">
        <v>1038</v>
      </c>
      <c r="B628" t="s">
        <v>2839</v>
      </c>
    </row>
    <row r="629" spans="1:2" x14ac:dyDescent="0.25">
      <c r="A629" t="s">
        <v>1039</v>
      </c>
      <c r="B629" t="s">
        <v>2840</v>
      </c>
    </row>
    <row r="630" spans="1:2" x14ac:dyDescent="0.25">
      <c r="A630" t="s">
        <v>1040</v>
      </c>
      <c r="B630" t="s">
        <v>2841</v>
      </c>
    </row>
    <row r="631" spans="1:2" x14ac:dyDescent="0.25">
      <c r="A631" t="s">
        <v>1041</v>
      </c>
      <c r="B631" t="s">
        <v>2842</v>
      </c>
    </row>
    <row r="632" spans="1:2" x14ac:dyDescent="0.25">
      <c r="A632" t="s">
        <v>1042</v>
      </c>
      <c r="B632" t="s">
        <v>2843</v>
      </c>
    </row>
    <row r="633" spans="1:2" x14ac:dyDescent="0.25">
      <c r="A633" t="s">
        <v>1043</v>
      </c>
      <c r="B633" t="s">
        <v>2844</v>
      </c>
    </row>
    <row r="634" spans="1:2" x14ac:dyDescent="0.25">
      <c r="A634" t="s">
        <v>1044</v>
      </c>
      <c r="B634" t="s">
        <v>2845</v>
      </c>
    </row>
    <row r="635" spans="1:2" x14ac:dyDescent="0.25">
      <c r="A635" t="s">
        <v>1045</v>
      </c>
      <c r="B635" t="s">
        <v>2846</v>
      </c>
    </row>
    <row r="636" spans="1:2" x14ac:dyDescent="0.25">
      <c r="A636" t="s">
        <v>1046</v>
      </c>
      <c r="B636" t="s">
        <v>2847</v>
      </c>
    </row>
    <row r="637" spans="1:2" x14ac:dyDescent="0.25">
      <c r="A637" t="s">
        <v>1047</v>
      </c>
      <c r="B637" t="s">
        <v>2848</v>
      </c>
    </row>
    <row r="638" spans="1:2" x14ac:dyDescent="0.25">
      <c r="A638" t="s">
        <v>1048</v>
      </c>
      <c r="B638" t="s">
        <v>2849</v>
      </c>
    </row>
    <row r="639" spans="1:2" x14ac:dyDescent="0.25">
      <c r="A639" t="s">
        <v>1049</v>
      </c>
      <c r="B639" t="s">
        <v>2850</v>
      </c>
    </row>
    <row r="640" spans="1:2" x14ac:dyDescent="0.25">
      <c r="A640" t="s">
        <v>1050</v>
      </c>
      <c r="B640" t="s">
        <v>2851</v>
      </c>
    </row>
    <row r="641" spans="1:2" x14ac:dyDescent="0.25">
      <c r="A641" t="s">
        <v>1051</v>
      </c>
      <c r="B641" t="s">
        <v>2852</v>
      </c>
    </row>
    <row r="642" spans="1:2" x14ac:dyDescent="0.25">
      <c r="A642" t="s">
        <v>1052</v>
      </c>
      <c r="B642" t="s">
        <v>2853</v>
      </c>
    </row>
    <row r="643" spans="1:2" x14ac:dyDescent="0.25">
      <c r="A643" t="s">
        <v>1053</v>
      </c>
      <c r="B643" t="s">
        <v>2854</v>
      </c>
    </row>
    <row r="644" spans="1:2" x14ac:dyDescent="0.25">
      <c r="A644" t="s">
        <v>1054</v>
      </c>
      <c r="B644" t="s">
        <v>2389</v>
      </c>
    </row>
    <row r="645" spans="1:2" x14ac:dyDescent="0.25">
      <c r="A645" t="s">
        <v>1055</v>
      </c>
      <c r="B645" t="s">
        <v>2855</v>
      </c>
    </row>
    <row r="646" spans="1:2" x14ac:dyDescent="0.25">
      <c r="A646" t="s">
        <v>1056</v>
      </c>
      <c r="B646" t="s">
        <v>2856</v>
      </c>
    </row>
    <row r="647" spans="1:2" x14ac:dyDescent="0.25">
      <c r="A647" t="s">
        <v>1057</v>
      </c>
      <c r="B647" t="s">
        <v>2857</v>
      </c>
    </row>
    <row r="648" spans="1:2" x14ac:dyDescent="0.25">
      <c r="A648" t="s">
        <v>1058</v>
      </c>
      <c r="B648" t="s">
        <v>2858</v>
      </c>
    </row>
    <row r="649" spans="1:2" x14ac:dyDescent="0.25">
      <c r="A649" t="s">
        <v>1059</v>
      </c>
      <c r="B649" t="s">
        <v>2859</v>
      </c>
    </row>
    <row r="650" spans="1:2" x14ac:dyDescent="0.25">
      <c r="A650" t="s">
        <v>1060</v>
      </c>
      <c r="B650" t="s">
        <v>2860</v>
      </c>
    </row>
    <row r="651" spans="1:2" x14ac:dyDescent="0.25">
      <c r="A651" t="s">
        <v>1061</v>
      </c>
      <c r="B651" t="s">
        <v>2861</v>
      </c>
    </row>
    <row r="652" spans="1:2" x14ac:dyDescent="0.25">
      <c r="A652" t="s">
        <v>1062</v>
      </c>
      <c r="B652" t="s">
        <v>2862</v>
      </c>
    </row>
    <row r="653" spans="1:2" x14ac:dyDescent="0.25">
      <c r="A653" t="s">
        <v>1063</v>
      </c>
      <c r="B653" t="s">
        <v>2863</v>
      </c>
    </row>
    <row r="654" spans="1:2" x14ac:dyDescent="0.25">
      <c r="A654" t="s">
        <v>1064</v>
      </c>
      <c r="B654" t="s">
        <v>2864</v>
      </c>
    </row>
    <row r="655" spans="1:2" x14ac:dyDescent="0.25">
      <c r="A655" t="s">
        <v>1065</v>
      </c>
      <c r="B655" t="s">
        <v>2865</v>
      </c>
    </row>
    <row r="656" spans="1:2" x14ac:dyDescent="0.25">
      <c r="A656" t="s">
        <v>1066</v>
      </c>
      <c r="B656" t="s">
        <v>2866</v>
      </c>
    </row>
    <row r="657" spans="1:2" x14ac:dyDescent="0.25">
      <c r="A657" t="s">
        <v>1067</v>
      </c>
      <c r="B657" t="s">
        <v>2867</v>
      </c>
    </row>
    <row r="658" spans="1:2" x14ac:dyDescent="0.25">
      <c r="A658" t="s">
        <v>1068</v>
      </c>
      <c r="B658" t="s">
        <v>2868</v>
      </c>
    </row>
    <row r="659" spans="1:2" x14ac:dyDescent="0.25">
      <c r="A659" t="s">
        <v>1069</v>
      </c>
      <c r="B659" t="s">
        <v>2869</v>
      </c>
    </row>
    <row r="660" spans="1:2" x14ac:dyDescent="0.25">
      <c r="A660" t="s">
        <v>1070</v>
      </c>
      <c r="B660" t="s">
        <v>2870</v>
      </c>
    </row>
    <row r="661" spans="1:2" x14ac:dyDescent="0.25">
      <c r="A661" t="s">
        <v>1071</v>
      </c>
      <c r="B661" t="s">
        <v>2871</v>
      </c>
    </row>
    <row r="662" spans="1:2" x14ac:dyDescent="0.25">
      <c r="A662" t="s">
        <v>1072</v>
      </c>
      <c r="B662" t="s">
        <v>2872</v>
      </c>
    </row>
    <row r="663" spans="1:2" x14ac:dyDescent="0.25">
      <c r="A663" t="s">
        <v>1073</v>
      </c>
      <c r="B663" t="s">
        <v>2873</v>
      </c>
    </row>
    <row r="664" spans="1:2" x14ac:dyDescent="0.25">
      <c r="A664" t="s">
        <v>1074</v>
      </c>
      <c r="B664" t="s">
        <v>2874</v>
      </c>
    </row>
    <row r="665" spans="1:2" x14ac:dyDescent="0.25">
      <c r="A665" t="s">
        <v>1075</v>
      </c>
      <c r="B665" t="s">
        <v>2875</v>
      </c>
    </row>
    <row r="666" spans="1:2" ht="24" x14ac:dyDescent="0.4">
      <c r="A666" s="16" t="s">
        <v>2876</v>
      </c>
    </row>
    <row r="667" spans="1:2" x14ac:dyDescent="0.25">
      <c r="A667" t="s">
        <v>1076</v>
      </c>
      <c r="B667" t="s">
        <v>2877</v>
      </c>
    </row>
    <row r="668" spans="1:2" x14ac:dyDescent="0.25">
      <c r="A668" t="s">
        <v>1077</v>
      </c>
      <c r="B668" t="s">
        <v>2878</v>
      </c>
    </row>
    <row r="669" spans="1:2" x14ac:dyDescent="0.25">
      <c r="A669" t="s">
        <v>1078</v>
      </c>
      <c r="B669" t="s">
        <v>2879</v>
      </c>
    </row>
    <row r="670" spans="1:2" x14ac:dyDescent="0.25">
      <c r="A670" t="s">
        <v>1079</v>
      </c>
      <c r="B670" t="s">
        <v>2880</v>
      </c>
    </row>
    <row r="671" spans="1:2" x14ac:dyDescent="0.25">
      <c r="A671" t="s">
        <v>1080</v>
      </c>
      <c r="B671" t="s">
        <v>2881</v>
      </c>
    </row>
    <row r="672" spans="1:2" x14ac:dyDescent="0.25">
      <c r="A672" t="s">
        <v>1081</v>
      </c>
      <c r="B672" t="s">
        <v>2882</v>
      </c>
    </row>
    <row r="673" spans="1:2" x14ac:dyDescent="0.25">
      <c r="A673" t="s">
        <v>1082</v>
      </c>
      <c r="B673" t="s">
        <v>2822</v>
      </c>
    </row>
    <row r="674" spans="1:2" x14ac:dyDescent="0.25">
      <c r="A674" t="s">
        <v>1083</v>
      </c>
      <c r="B674" t="s">
        <v>2821</v>
      </c>
    </row>
    <row r="675" spans="1:2" x14ac:dyDescent="0.25">
      <c r="A675" t="s">
        <v>1084</v>
      </c>
      <c r="B675" t="s">
        <v>2883</v>
      </c>
    </row>
    <row r="676" spans="1:2" x14ac:dyDescent="0.25">
      <c r="A676" t="s">
        <v>1085</v>
      </c>
      <c r="B676" t="s">
        <v>2884</v>
      </c>
    </row>
    <row r="677" spans="1:2" x14ac:dyDescent="0.25">
      <c r="A677" t="s">
        <v>1086</v>
      </c>
      <c r="B677" t="s">
        <v>2885</v>
      </c>
    </row>
    <row r="678" spans="1:2" x14ac:dyDescent="0.25">
      <c r="A678" t="s">
        <v>1087</v>
      </c>
      <c r="B678" t="s">
        <v>2886</v>
      </c>
    </row>
    <row r="679" spans="1:2" x14ac:dyDescent="0.25">
      <c r="A679" t="s">
        <v>1088</v>
      </c>
      <c r="B679" t="s">
        <v>2887</v>
      </c>
    </row>
    <row r="680" spans="1:2" x14ac:dyDescent="0.25">
      <c r="A680" t="s">
        <v>1089</v>
      </c>
      <c r="B680" t="s">
        <v>2888</v>
      </c>
    </row>
    <row r="681" spans="1:2" x14ac:dyDescent="0.25">
      <c r="A681" t="s">
        <v>1090</v>
      </c>
      <c r="B681" t="s">
        <v>2889</v>
      </c>
    </row>
    <row r="682" spans="1:2" x14ac:dyDescent="0.25">
      <c r="A682" t="s">
        <v>1091</v>
      </c>
      <c r="B682" t="s">
        <v>2890</v>
      </c>
    </row>
    <row r="683" spans="1:2" x14ac:dyDescent="0.25">
      <c r="A683" t="s">
        <v>1092</v>
      </c>
      <c r="B683" t="s">
        <v>2891</v>
      </c>
    </row>
    <row r="684" spans="1:2" x14ac:dyDescent="0.25">
      <c r="A684" t="s">
        <v>1093</v>
      </c>
      <c r="B684" t="s">
        <v>2892</v>
      </c>
    </row>
    <row r="685" spans="1:2" x14ac:dyDescent="0.25">
      <c r="A685" t="s">
        <v>1094</v>
      </c>
      <c r="B685" t="s">
        <v>2893</v>
      </c>
    </row>
    <row r="686" spans="1:2" x14ac:dyDescent="0.25">
      <c r="A686" t="s">
        <v>1095</v>
      </c>
      <c r="B686" t="s">
        <v>2894</v>
      </c>
    </row>
    <row r="687" spans="1:2" x14ac:dyDescent="0.25">
      <c r="A687" t="s">
        <v>1096</v>
      </c>
      <c r="B687" t="s">
        <v>2895</v>
      </c>
    </row>
    <row r="688" spans="1:2" x14ac:dyDescent="0.25">
      <c r="A688" t="s">
        <v>1097</v>
      </c>
      <c r="B688" t="s">
        <v>2896</v>
      </c>
    </row>
    <row r="689" spans="1:2" x14ac:dyDescent="0.25">
      <c r="A689" t="s">
        <v>1098</v>
      </c>
      <c r="B689" t="s">
        <v>2897</v>
      </c>
    </row>
    <row r="690" spans="1:2" x14ac:dyDescent="0.25">
      <c r="A690" t="s">
        <v>1099</v>
      </c>
      <c r="B690" t="s">
        <v>2898</v>
      </c>
    </row>
    <row r="691" spans="1:2" x14ac:dyDescent="0.25">
      <c r="A691" t="s">
        <v>1100</v>
      </c>
      <c r="B691" t="s">
        <v>2899</v>
      </c>
    </row>
    <row r="692" spans="1:2" x14ac:dyDescent="0.25">
      <c r="A692" t="s">
        <v>1101</v>
      </c>
      <c r="B692" t="s">
        <v>2900</v>
      </c>
    </row>
    <row r="693" spans="1:2" x14ac:dyDescent="0.25">
      <c r="A693" t="s">
        <v>1102</v>
      </c>
      <c r="B693" t="s">
        <v>2901</v>
      </c>
    </row>
    <row r="694" spans="1:2" x14ac:dyDescent="0.25">
      <c r="A694" t="s">
        <v>1103</v>
      </c>
      <c r="B694" t="s">
        <v>2902</v>
      </c>
    </row>
    <row r="695" spans="1:2" x14ac:dyDescent="0.25">
      <c r="A695" t="s">
        <v>1104</v>
      </c>
      <c r="B695" t="s">
        <v>2903</v>
      </c>
    </row>
    <row r="696" spans="1:2" x14ac:dyDescent="0.25">
      <c r="A696" t="s">
        <v>1105</v>
      </c>
      <c r="B696" t="s">
        <v>2904</v>
      </c>
    </row>
    <row r="697" spans="1:2" x14ac:dyDescent="0.25">
      <c r="A697" t="s">
        <v>1106</v>
      </c>
      <c r="B697" t="s">
        <v>2905</v>
      </c>
    </row>
    <row r="698" spans="1:2" x14ac:dyDescent="0.25">
      <c r="A698" t="s">
        <v>1107</v>
      </c>
      <c r="B698" t="s">
        <v>2906</v>
      </c>
    </row>
    <row r="699" spans="1:2" x14ac:dyDescent="0.25">
      <c r="A699" t="s">
        <v>1108</v>
      </c>
      <c r="B699" t="s">
        <v>2907</v>
      </c>
    </row>
    <row r="700" spans="1:2" x14ac:dyDescent="0.25">
      <c r="A700" t="s">
        <v>1109</v>
      </c>
      <c r="B700" t="s">
        <v>2908</v>
      </c>
    </row>
    <row r="701" spans="1:2" x14ac:dyDescent="0.25">
      <c r="A701" t="s">
        <v>1110</v>
      </c>
      <c r="B701" t="s">
        <v>2909</v>
      </c>
    </row>
    <row r="702" spans="1:2" x14ac:dyDescent="0.25">
      <c r="A702" t="s">
        <v>1111</v>
      </c>
      <c r="B702" t="s">
        <v>2910</v>
      </c>
    </row>
    <row r="703" spans="1:2" x14ac:dyDescent="0.25">
      <c r="A703" t="s">
        <v>1112</v>
      </c>
      <c r="B703" t="s">
        <v>2911</v>
      </c>
    </row>
    <row r="704" spans="1:2" x14ac:dyDescent="0.25">
      <c r="A704" t="s">
        <v>1113</v>
      </c>
      <c r="B704" t="s">
        <v>2912</v>
      </c>
    </row>
    <row r="705" spans="1:2" ht="24" x14ac:dyDescent="0.4">
      <c r="A705" s="16" t="s">
        <v>2913</v>
      </c>
    </row>
    <row r="706" spans="1:2" x14ac:dyDescent="0.25">
      <c r="A706" t="s">
        <v>1114</v>
      </c>
      <c r="B706" t="s">
        <v>2914</v>
      </c>
    </row>
    <row r="707" spans="1:2" x14ac:dyDescent="0.25">
      <c r="A707" t="s">
        <v>1115</v>
      </c>
      <c r="B707" t="s">
        <v>2915</v>
      </c>
    </row>
    <row r="708" spans="1:2" x14ac:dyDescent="0.25">
      <c r="A708" t="s">
        <v>1116</v>
      </c>
      <c r="B708" t="s">
        <v>2916</v>
      </c>
    </row>
    <row r="709" spans="1:2" x14ac:dyDescent="0.25">
      <c r="A709" t="s">
        <v>1117</v>
      </c>
      <c r="B709" t="s">
        <v>2917</v>
      </c>
    </row>
    <row r="710" spans="1:2" x14ac:dyDescent="0.25">
      <c r="A710" t="s">
        <v>1118</v>
      </c>
      <c r="B710" t="s">
        <v>2918</v>
      </c>
    </row>
    <row r="711" spans="1:2" x14ac:dyDescent="0.25">
      <c r="A711" t="s">
        <v>1119</v>
      </c>
      <c r="B711" t="s">
        <v>2919</v>
      </c>
    </row>
    <row r="712" spans="1:2" x14ac:dyDescent="0.25">
      <c r="A712" t="s">
        <v>1120</v>
      </c>
      <c r="B712" t="s">
        <v>2920</v>
      </c>
    </row>
    <row r="713" spans="1:2" x14ac:dyDescent="0.25">
      <c r="A713" t="s">
        <v>1121</v>
      </c>
      <c r="B713" t="s">
        <v>2921</v>
      </c>
    </row>
    <row r="714" spans="1:2" x14ac:dyDescent="0.25">
      <c r="A714" t="s">
        <v>1122</v>
      </c>
      <c r="B714" t="s">
        <v>2922</v>
      </c>
    </row>
    <row r="715" spans="1:2" x14ac:dyDescent="0.25">
      <c r="A715" t="s">
        <v>1123</v>
      </c>
      <c r="B715" t="s">
        <v>2923</v>
      </c>
    </row>
    <row r="716" spans="1:2" x14ac:dyDescent="0.25">
      <c r="A716" t="s">
        <v>1124</v>
      </c>
      <c r="B716" t="s">
        <v>2916</v>
      </c>
    </row>
    <row r="717" spans="1:2" x14ac:dyDescent="0.25">
      <c r="A717" t="s">
        <v>1125</v>
      </c>
      <c r="B717" t="s">
        <v>2924</v>
      </c>
    </row>
    <row r="718" spans="1:2" x14ac:dyDescent="0.25">
      <c r="A718" t="s">
        <v>1126</v>
      </c>
      <c r="B718" t="s">
        <v>2918</v>
      </c>
    </row>
    <row r="719" spans="1:2" x14ac:dyDescent="0.25">
      <c r="A719" t="s">
        <v>1127</v>
      </c>
      <c r="B719" t="s">
        <v>2925</v>
      </c>
    </row>
    <row r="720" spans="1:2" x14ac:dyDescent="0.25">
      <c r="A720" t="s">
        <v>1128</v>
      </c>
      <c r="B720" t="s">
        <v>2920</v>
      </c>
    </row>
    <row r="721" spans="1:2" x14ac:dyDescent="0.25">
      <c r="A721" t="s">
        <v>1129</v>
      </c>
      <c r="B721" t="s">
        <v>2926</v>
      </c>
    </row>
    <row r="722" spans="1:2" ht="24" x14ac:dyDescent="0.4">
      <c r="A722" s="16" t="s">
        <v>2927</v>
      </c>
    </row>
    <row r="723" spans="1:2" x14ac:dyDescent="0.25">
      <c r="A723" t="s">
        <v>1130</v>
      </c>
      <c r="B723" t="s">
        <v>2928</v>
      </c>
    </row>
    <row r="724" spans="1:2" x14ac:dyDescent="0.25">
      <c r="A724" t="s">
        <v>1131</v>
      </c>
      <c r="B724" t="s">
        <v>2929</v>
      </c>
    </row>
    <row r="725" spans="1:2" x14ac:dyDescent="0.25">
      <c r="A725" t="s">
        <v>1132</v>
      </c>
      <c r="B725" t="s">
        <v>2930</v>
      </c>
    </row>
    <row r="726" spans="1:2" x14ac:dyDescent="0.25">
      <c r="A726" t="s">
        <v>1133</v>
      </c>
      <c r="B726" t="s">
        <v>2640</v>
      </c>
    </row>
    <row r="727" spans="1:2" x14ac:dyDescent="0.25">
      <c r="A727" t="s">
        <v>1134</v>
      </c>
      <c r="B727" t="s">
        <v>2931</v>
      </c>
    </row>
    <row r="728" spans="1:2" x14ac:dyDescent="0.25">
      <c r="A728" t="s">
        <v>1135</v>
      </c>
      <c r="B728" t="s">
        <v>2932</v>
      </c>
    </row>
    <row r="729" spans="1:2" x14ac:dyDescent="0.25">
      <c r="A729" t="s">
        <v>1136</v>
      </c>
      <c r="B729" t="s">
        <v>2933</v>
      </c>
    </row>
    <row r="730" spans="1:2" x14ac:dyDescent="0.25">
      <c r="A730" t="s">
        <v>1137</v>
      </c>
      <c r="B730" t="s">
        <v>2934</v>
      </c>
    </row>
    <row r="731" spans="1:2" x14ac:dyDescent="0.25">
      <c r="A731" t="s">
        <v>1138</v>
      </c>
      <c r="B731" t="s">
        <v>2935</v>
      </c>
    </row>
    <row r="732" spans="1:2" x14ac:dyDescent="0.25">
      <c r="A732" t="s">
        <v>1139</v>
      </c>
      <c r="B732" t="s">
        <v>2936</v>
      </c>
    </row>
    <row r="733" spans="1:2" x14ac:dyDescent="0.25">
      <c r="A733" t="s">
        <v>1140</v>
      </c>
      <c r="B733" t="s">
        <v>2937</v>
      </c>
    </row>
    <row r="734" spans="1:2" x14ac:dyDescent="0.25">
      <c r="A734" t="s">
        <v>1141</v>
      </c>
      <c r="B734" t="s">
        <v>2938</v>
      </c>
    </row>
    <row r="735" spans="1:2" x14ac:dyDescent="0.25">
      <c r="A735" t="s">
        <v>1142</v>
      </c>
      <c r="B735" t="s">
        <v>2939</v>
      </c>
    </row>
    <row r="736" spans="1:2" x14ac:dyDescent="0.25">
      <c r="A736" t="s">
        <v>1143</v>
      </c>
      <c r="B736" t="s">
        <v>2604</v>
      </c>
    </row>
    <row r="737" spans="1:2" x14ac:dyDescent="0.25">
      <c r="A737" t="s">
        <v>1144</v>
      </c>
      <c r="B737" t="s">
        <v>2389</v>
      </c>
    </row>
    <row r="738" spans="1:2" x14ac:dyDescent="0.25">
      <c r="A738" t="s">
        <v>1145</v>
      </c>
      <c r="B738" t="s">
        <v>2940</v>
      </c>
    </row>
    <row r="739" spans="1:2" x14ac:dyDescent="0.25">
      <c r="A739" t="s">
        <v>1146</v>
      </c>
      <c r="B739" t="s">
        <v>2941</v>
      </c>
    </row>
    <row r="740" spans="1:2" x14ac:dyDescent="0.25">
      <c r="A740" t="s">
        <v>1147</v>
      </c>
      <c r="B740" t="s">
        <v>2942</v>
      </c>
    </row>
    <row r="741" spans="1:2" x14ac:dyDescent="0.25">
      <c r="A741" t="s">
        <v>1148</v>
      </c>
      <c r="B741" t="s">
        <v>2943</v>
      </c>
    </row>
    <row r="742" spans="1:2" x14ac:dyDescent="0.25">
      <c r="A742" t="s">
        <v>1149</v>
      </c>
      <c r="B742" t="s">
        <v>2944</v>
      </c>
    </row>
    <row r="743" spans="1:2" x14ac:dyDescent="0.25">
      <c r="A743" t="s">
        <v>1150</v>
      </c>
      <c r="B743" t="s">
        <v>2945</v>
      </c>
    </row>
    <row r="744" spans="1:2" x14ac:dyDescent="0.25">
      <c r="A744" t="s">
        <v>1151</v>
      </c>
      <c r="B744" t="s">
        <v>2946</v>
      </c>
    </row>
    <row r="745" spans="1:2" x14ac:dyDescent="0.25">
      <c r="A745" t="s">
        <v>1152</v>
      </c>
      <c r="B745" t="s">
        <v>2947</v>
      </c>
    </row>
    <row r="746" spans="1:2" x14ac:dyDescent="0.25">
      <c r="A746" t="s">
        <v>1153</v>
      </c>
      <c r="B746" t="s">
        <v>2719</v>
      </c>
    </row>
    <row r="747" spans="1:2" x14ac:dyDescent="0.25">
      <c r="A747" t="s">
        <v>1154</v>
      </c>
      <c r="B747" t="s">
        <v>2389</v>
      </c>
    </row>
    <row r="748" spans="1:2" x14ac:dyDescent="0.25">
      <c r="A748" t="s">
        <v>1155</v>
      </c>
      <c r="B748" t="s">
        <v>2948</v>
      </c>
    </row>
    <row r="749" spans="1:2" x14ac:dyDescent="0.25">
      <c r="A749" t="s">
        <v>1156</v>
      </c>
      <c r="B749" t="s">
        <v>2949</v>
      </c>
    </row>
    <row r="750" spans="1:2" x14ac:dyDescent="0.25">
      <c r="A750" t="s">
        <v>1157</v>
      </c>
      <c r="B750" t="s">
        <v>2950</v>
      </c>
    </row>
    <row r="751" spans="1:2" x14ac:dyDescent="0.25">
      <c r="A751" t="s">
        <v>1158</v>
      </c>
      <c r="B751" t="s">
        <v>2951</v>
      </c>
    </row>
    <row r="752" spans="1:2" x14ac:dyDescent="0.25">
      <c r="A752" t="s">
        <v>1159</v>
      </c>
      <c r="B752" t="s">
        <v>2952</v>
      </c>
    </row>
    <row r="753" spans="1:2" x14ac:dyDescent="0.25">
      <c r="A753" t="s">
        <v>1160</v>
      </c>
      <c r="B753" t="s">
        <v>2953</v>
      </c>
    </row>
    <row r="754" spans="1:2" x14ac:dyDescent="0.25">
      <c r="A754" t="s">
        <v>1161</v>
      </c>
      <c r="B754" t="s">
        <v>2954</v>
      </c>
    </row>
    <row r="755" spans="1:2" x14ac:dyDescent="0.25">
      <c r="A755" t="s">
        <v>1162</v>
      </c>
      <c r="B755" t="s">
        <v>2955</v>
      </c>
    </row>
    <row r="756" spans="1:2" x14ac:dyDescent="0.25">
      <c r="A756" t="s">
        <v>1163</v>
      </c>
      <c r="B756" t="s">
        <v>2956</v>
      </c>
    </row>
    <row r="757" spans="1:2" x14ac:dyDescent="0.25">
      <c r="A757" t="s">
        <v>1164</v>
      </c>
      <c r="B757" t="s">
        <v>2957</v>
      </c>
    </row>
    <row r="758" spans="1:2" x14ac:dyDescent="0.25">
      <c r="A758" t="s">
        <v>1165</v>
      </c>
      <c r="B758" t="s">
        <v>2958</v>
      </c>
    </row>
    <row r="759" spans="1:2" x14ac:dyDescent="0.25">
      <c r="A759" t="s">
        <v>1166</v>
      </c>
      <c r="B759" t="s">
        <v>2959</v>
      </c>
    </row>
    <row r="760" spans="1:2" x14ac:dyDescent="0.25">
      <c r="A760" t="s">
        <v>1167</v>
      </c>
      <c r="B760" t="s">
        <v>2389</v>
      </c>
    </row>
    <row r="761" spans="1:2" x14ac:dyDescent="0.25">
      <c r="A761" t="s">
        <v>1168</v>
      </c>
      <c r="B761" t="s">
        <v>2960</v>
      </c>
    </row>
    <row r="762" spans="1:2" x14ac:dyDescent="0.25">
      <c r="A762" t="s">
        <v>1169</v>
      </c>
      <c r="B762" t="s">
        <v>2961</v>
      </c>
    </row>
    <row r="763" spans="1:2" x14ac:dyDescent="0.25">
      <c r="A763" t="s">
        <v>1170</v>
      </c>
      <c r="B763" t="s">
        <v>2962</v>
      </c>
    </row>
    <row r="764" spans="1:2" x14ac:dyDescent="0.25">
      <c r="A764" t="s">
        <v>1171</v>
      </c>
      <c r="B764" t="s">
        <v>2963</v>
      </c>
    </row>
    <row r="765" spans="1:2" x14ac:dyDescent="0.25">
      <c r="A765" t="s">
        <v>1172</v>
      </c>
      <c r="B765" t="s">
        <v>2389</v>
      </c>
    </row>
    <row r="766" spans="1:2" x14ac:dyDescent="0.25">
      <c r="A766" t="s">
        <v>1173</v>
      </c>
      <c r="B766" t="s">
        <v>2964</v>
      </c>
    </row>
    <row r="767" spans="1:2" x14ac:dyDescent="0.25">
      <c r="A767" t="s">
        <v>1174</v>
      </c>
      <c r="B767" t="s">
        <v>2965</v>
      </c>
    </row>
    <row r="768" spans="1:2" x14ac:dyDescent="0.25">
      <c r="A768" t="s">
        <v>1175</v>
      </c>
      <c r="B768" t="s">
        <v>2966</v>
      </c>
    </row>
    <row r="769" spans="1:2" x14ac:dyDescent="0.25">
      <c r="A769" t="s">
        <v>1176</v>
      </c>
      <c r="B769" t="s">
        <v>2967</v>
      </c>
    </row>
    <row r="770" spans="1:2" x14ac:dyDescent="0.25">
      <c r="A770" t="s">
        <v>1177</v>
      </c>
      <c r="B770" t="s">
        <v>2968</v>
      </c>
    </row>
    <row r="771" spans="1:2" x14ac:dyDescent="0.25">
      <c r="A771" t="s">
        <v>1178</v>
      </c>
      <c r="B771" t="s">
        <v>2718</v>
      </c>
    </row>
    <row r="772" spans="1:2" x14ac:dyDescent="0.25">
      <c r="A772" t="s">
        <v>1179</v>
      </c>
      <c r="B772" t="s">
        <v>2969</v>
      </c>
    </row>
    <row r="773" spans="1:2" x14ac:dyDescent="0.25">
      <c r="A773" t="s">
        <v>1180</v>
      </c>
      <c r="B773" t="s">
        <v>2970</v>
      </c>
    </row>
    <row r="774" spans="1:2" x14ac:dyDescent="0.25">
      <c r="A774" t="s">
        <v>1181</v>
      </c>
      <c r="B774" t="s">
        <v>2971</v>
      </c>
    </row>
    <row r="775" spans="1:2" x14ac:dyDescent="0.25">
      <c r="A775" t="s">
        <v>1182</v>
      </c>
      <c r="B775" t="s">
        <v>2972</v>
      </c>
    </row>
    <row r="776" spans="1:2" x14ac:dyDescent="0.25">
      <c r="A776" t="s">
        <v>1183</v>
      </c>
      <c r="B776" t="s">
        <v>2973</v>
      </c>
    </row>
    <row r="777" spans="1:2" x14ac:dyDescent="0.25">
      <c r="A777" t="s">
        <v>1184</v>
      </c>
      <c r="B777" t="s">
        <v>2974</v>
      </c>
    </row>
    <row r="778" spans="1:2" x14ac:dyDescent="0.25">
      <c r="A778" t="s">
        <v>1185</v>
      </c>
      <c r="B778" t="s">
        <v>2975</v>
      </c>
    </row>
    <row r="779" spans="1:2" x14ac:dyDescent="0.25">
      <c r="A779" t="s">
        <v>1186</v>
      </c>
      <c r="B779" t="s">
        <v>2976</v>
      </c>
    </row>
    <row r="780" spans="1:2" x14ac:dyDescent="0.25">
      <c r="A780" t="s">
        <v>1187</v>
      </c>
      <c r="B780" t="s">
        <v>2389</v>
      </c>
    </row>
    <row r="781" spans="1:2" x14ac:dyDescent="0.25">
      <c r="A781" t="s">
        <v>1188</v>
      </c>
      <c r="B781" t="s">
        <v>2977</v>
      </c>
    </row>
    <row r="782" spans="1:2" x14ac:dyDescent="0.25">
      <c r="A782" t="s">
        <v>1189</v>
      </c>
      <c r="B782" t="s">
        <v>2978</v>
      </c>
    </row>
    <row r="783" spans="1:2" x14ac:dyDescent="0.25">
      <c r="A783" t="s">
        <v>1190</v>
      </c>
      <c r="B783" t="s">
        <v>2979</v>
      </c>
    </row>
    <row r="784" spans="1:2" x14ac:dyDescent="0.25">
      <c r="A784" t="s">
        <v>1191</v>
      </c>
      <c r="B784" t="s">
        <v>2980</v>
      </c>
    </row>
    <row r="785" spans="1:2" x14ac:dyDescent="0.25">
      <c r="A785" t="s">
        <v>1192</v>
      </c>
      <c r="B785" t="s">
        <v>2718</v>
      </c>
    </row>
    <row r="786" spans="1:2" x14ac:dyDescent="0.25">
      <c r="A786" t="s">
        <v>1193</v>
      </c>
      <c r="B786" t="s">
        <v>2969</v>
      </c>
    </row>
    <row r="787" spans="1:2" x14ac:dyDescent="0.25">
      <c r="A787" t="s">
        <v>1194</v>
      </c>
      <c r="B787" t="s">
        <v>2389</v>
      </c>
    </row>
    <row r="788" spans="1:2" x14ac:dyDescent="0.25">
      <c r="A788" t="s">
        <v>1195</v>
      </c>
      <c r="B788" t="s">
        <v>2981</v>
      </c>
    </row>
    <row r="789" spans="1:2" x14ac:dyDescent="0.25">
      <c r="A789" t="s">
        <v>1196</v>
      </c>
      <c r="B789" t="s">
        <v>2982</v>
      </c>
    </row>
    <row r="790" spans="1:2" x14ac:dyDescent="0.25">
      <c r="A790" t="s">
        <v>1197</v>
      </c>
      <c r="B790" t="s">
        <v>2983</v>
      </c>
    </row>
    <row r="791" spans="1:2" x14ac:dyDescent="0.25">
      <c r="A791" t="s">
        <v>1198</v>
      </c>
      <c r="B791" t="s">
        <v>2984</v>
      </c>
    </row>
    <row r="792" spans="1:2" x14ac:dyDescent="0.25">
      <c r="A792" t="s">
        <v>1199</v>
      </c>
      <c r="B792" t="s">
        <v>2985</v>
      </c>
    </row>
    <row r="793" spans="1:2" x14ac:dyDescent="0.25">
      <c r="A793" t="s">
        <v>1200</v>
      </c>
      <c r="B793" t="s">
        <v>2986</v>
      </c>
    </row>
    <row r="794" spans="1:2" x14ac:dyDescent="0.25">
      <c r="A794" t="s">
        <v>1201</v>
      </c>
      <c r="B794" t="s">
        <v>2474</v>
      </c>
    </row>
    <row r="795" spans="1:2" x14ac:dyDescent="0.25">
      <c r="A795" t="s">
        <v>1202</v>
      </c>
      <c r="B795" t="s">
        <v>2467</v>
      </c>
    </row>
    <row r="796" spans="1:2" x14ac:dyDescent="0.25">
      <c r="A796" t="s">
        <v>1203</v>
      </c>
      <c r="B796" t="s">
        <v>2987</v>
      </c>
    </row>
    <row r="797" spans="1:2" x14ac:dyDescent="0.25">
      <c r="A797" t="s">
        <v>1204</v>
      </c>
      <c r="B797" t="s">
        <v>2988</v>
      </c>
    </row>
    <row r="798" spans="1:2" x14ac:dyDescent="0.25">
      <c r="A798" t="s">
        <v>1205</v>
      </c>
      <c r="B798" t="s">
        <v>2457</v>
      </c>
    </row>
    <row r="799" spans="1:2" x14ac:dyDescent="0.25">
      <c r="A799" t="s">
        <v>1206</v>
      </c>
      <c r="B799" t="s">
        <v>2989</v>
      </c>
    </row>
    <row r="800" spans="1:2" x14ac:dyDescent="0.25">
      <c r="A800" t="s">
        <v>1207</v>
      </c>
      <c r="B800" t="s">
        <v>2990</v>
      </c>
    </row>
    <row r="801" spans="1:2" x14ac:dyDescent="0.25">
      <c r="A801" t="s">
        <v>1208</v>
      </c>
      <c r="B801" t="s">
        <v>2389</v>
      </c>
    </row>
    <row r="802" spans="1:2" x14ac:dyDescent="0.25">
      <c r="A802" t="s">
        <v>1209</v>
      </c>
      <c r="B802" t="s">
        <v>2991</v>
      </c>
    </row>
    <row r="803" spans="1:2" x14ac:dyDescent="0.25">
      <c r="A803" t="s">
        <v>1210</v>
      </c>
      <c r="B803" t="s">
        <v>2819</v>
      </c>
    </row>
    <row r="804" spans="1:2" x14ac:dyDescent="0.25">
      <c r="A804" t="s">
        <v>1211</v>
      </c>
      <c r="B804" t="s">
        <v>2820</v>
      </c>
    </row>
    <row r="805" spans="1:2" x14ac:dyDescent="0.25">
      <c r="A805" t="s">
        <v>1212</v>
      </c>
      <c r="B805" t="s">
        <v>2992</v>
      </c>
    </row>
    <row r="806" spans="1:2" x14ac:dyDescent="0.25">
      <c r="A806" t="s">
        <v>1213</v>
      </c>
      <c r="B806" t="s">
        <v>2822</v>
      </c>
    </row>
    <row r="807" spans="1:2" x14ac:dyDescent="0.25">
      <c r="A807" t="s">
        <v>1214</v>
      </c>
      <c r="B807" t="s">
        <v>2993</v>
      </c>
    </row>
    <row r="808" spans="1:2" x14ac:dyDescent="0.25">
      <c r="A808" t="s">
        <v>1215</v>
      </c>
      <c r="B808" t="s">
        <v>2994</v>
      </c>
    </row>
    <row r="809" spans="1:2" x14ac:dyDescent="0.25">
      <c r="A809" t="s">
        <v>1216</v>
      </c>
      <c r="B809" t="s">
        <v>2995</v>
      </c>
    </row>
    <row r="810" spans="1:2" x14ac:dyDescent="0.25">
      <c r="A810" t="s">
        <v>1217</v>
      </c>
      <c r="B810" t="s">
        <v>2996</v>
      </c>
    </row>
    <row r="811" spans="1:2" x14ac:dyDescent="0.25">
      <c r="A811" t="s">
        <v>1218</v>
      </c>
      <c r="B811" t="s">
        <v>2997</v>
      </c>
    </row>
    <row r="812" spans="1:2" x14ac:dyDescent="0.25">
      <c r="A812" t="s">
        <v>1219</v>
      </c>
      <c r="B812" t="s">
        <v>2998</v>
      </c>
    </row>
    <row r="813" spans="1:2" x14ac:dyDescent="0.25">
      <c r="A813" t="s">
        <v>1220</v>
      </c>
      <c r="B813" t="s">
        <v>2999</v>
      </c>
    </row>
    <row r="814" spans="1:2" x14ac:dyDescent="0.25">
      <c r="A814" t="s">
        <v>1221</v>
      </c>
      <c r="B814" t="s">
        <v>3000</v>
      </c>
    </row>
    <row r="815" spans="1:2" x14ac:dyDescent="0.25">
      <c r="A815" t="s">
        <v>1222</v>
      </c>
      <c r="B815" t="s">
        <v>3001</v>
      </c>
    </row>
    <row r="816" spans="1:2" x14ac:dyDescent="0.25">
      <c r="A816" t="s">
        <v>1223</v>
      </c>
      <c r="B816" t="s">
        <v>3002</v>
      </c>
    </row>
    <row r="817" spans="1:2" x14ac:dyDescent="0.25">
      <c r="A817" t="s">
        <v>1224</v>
      </c>
      <c r="B817" t="s">
        <v>3003</v>
      </c>
    </row>
    <row r="818" spans="1:2" x14ac:dyDescent="0.25">
      <c r="A818" t="s">
        <v>1225</v>
      </c>
      <c r="B818" t="s">
        <v>3004</v>
      </c>
    </row>
    <row r="819" spans="1:2" x14ac:dyDescent="0.25">
      <c r="A819" t="s">
        <v>1226</v>
      </c>
      <c r="B819" t="s">
        <v>3005</v>
      </c>
    </row>
    <row r="820" spans="1:2" x14ac:dyDescent="0.25">
      <c r="A820" t="s">
        <v>1227</v>
      </c>
      <c r="B820" t="s">
        <v>3006</v>
      </c>
    </row>
    <row r="821" spans="1:2" x14ac:dyDescent="0.25">
      <c r="A821" t="s">
        <v>1228</v>
      </c>
      <c r="B821" t="s">
        <v>3007</v>
      </c>
    </row>
    <row r="822" spans="1:2" ht="24" x14ac:dyDescent="0.4">
      <c r="A822" s="16" t="s">
        <v>3008</v>
      </c>
    </row>
    <row r="823" spans="1:2" x14ac:dyDescent="0.25">
      <c r="A823" t="s">
        <v>1229</v>
      </c>
      <c r="B823" t="s">
        <v>2991</v>
      </c>
    </row>
    <row r="824" spans="1:2" x14ac:dyDescent="0.25">
      <c r="A824" t="s">
        <v>1230</v>
      </c>
      <c r="B824" t="s">
        <v>2822</v>
      </c>
    </row>
    <row r="825" spans="1:2" x14ac:dyDescent="0.25">
      <c r="A825" t="s">
        <v>1231</v>
      </c>
      <c r="B825" t="s">
        <v>3009</v>
      </c>
    </row>
    <row r="826" spans="1:2" x14ac:dyDescent="0.25">
      <c r="A826" t="s">
        <v>1232</v>
      </c>
      <c r="B826" t="s">
        <v>3010</v>
      </c>
    </row>
    <row r="827" spans="1:2" x14ac:dyDescent="0.25">
      <c r="A827" t="s">
        <v>1233</v>
      </c>
      <c r="B827" t="s">
        <v>2995</v>
      </c>
    </row>
    <row r="828" spans="1:2" x14ac:dyDescent="0.25">
      <c r="A828" t="s">
        <v>1234</v>
      </c>
      <c r="B828" t="s">
        <v>3011</v>
      </c>
    </row>
    <row r="829" spans="1:2" x14ac:dyDescent="0.25">
      <c r="A829" t="s">
        <v>1235</v>
      </c>
      <c r="B829" t="s">
        <v>3012</v>
      </c>
    </row>
    <row r="830" spans="1:2" x14ac:dyDescent="0.25">
      <c r="A830" t="s">
        <v>1236</v>
      </c>
      <c r="B830" t="s">
        <v>3013</v>
      </c>
    </row>
    <row r="831" spans="1:2" x14ac:dyDescent="0.25">
      <c r="A831" t="s">
        <v>1237</v>
      </c>
      <c r="B831" t="s">
        <v>3014</v>
      </c>
    </row>
    <row r="832" spans="1:2" x14ac:dyDescent="0.25">
      <c r="A832" t="s">
        <v>1238</v>
      </c>
      <c r="B832" t="s">
        <v>3015</v>
      </c>
    </row>
    <row r="833" spans="1:2" x14ac:dyDescent="0.25">
      <c r="A833" t="s">
        <v>1239</v>
      </c>
      <c r="B833" t="s">
        <v>3016</v>
      </c>
    </row>
    <row r="834" spans="1:2" x14ac:dyDescent="0.25">
      <c r="A834" t="s">
        <v>1240</v>
      </c>
      <c r="B834" t="s">
        <v>3017</v>
      </c>
    </row>
    <row r="835" spans="1:2" x14ac:dyDescent="0.25">
      <c r="A835" t="s">
        <v>1241</v>
      </c>
      <c r="B835" t="s">
        <v>3018</v>
      </c>
    </row>
    <row r="836" spans="1:2" x14ac:dyDescent="0.25">
      <c r="A836" t="s">
        <v>1242</v>
      </c>
      <c r="B836" t="s">
        <v>3019</v>
      </c>
    </row>
    <row r="837" spans="1:2" x14ac:dyDescent="0.25">
      <c r="A837" t="s">
        <v>1243</v>
      </c>
      <c r="B837" t="s">
        <v>3020</v>
      </c>
    </row>
    <row r="838" spans="1:2" x14ac:dyDescent="0.25">
      <c r="A838" t="s">
        <v>1244</v>
      </c>
      <c r="B838" t="s">
        <v>3021</v>
      </c>
    </row>
    <row r="839" spans="1:2" x14ac:dyDescent="0.25">
      <c r="A839" t="s">
        <v>1245</v>
      </c>
      <c r="B839" t="s">
        <v>3022</v>
      </c>
    </row>
    <row r="840" spans="1:2" x14ac:dyDescent="0.25">
      <c r="A840" t="s">
        <v>1246</v>
      </c>
      <c r="B840" t="s">
        <v>3023</v>
      </c>
    </row>
    <row r="841" spans="1:2" x14ac:dyDescent="0.25">
      <c r="A841" t="s">
        <v>1247</v>
      </c>
      <c r="B841" t="s">
        <v>2920</v>
      </c>
    </row>
    <row r="842" spans="1:2" x14ac:dyDescent="0.25">
      <c r="A842" t="s">
        <v>1248</v>
      </c>
      <c r="B842" t="s">
        <v>3024</v>
      </c>
    </row>
    <row r="843" spans="1:2" x14ac:dyDescent="0.25">
      <c r="A843" t="s">
        <v>1249</v>
      </c>
      <c r="B843" t="s">
        <v>3025</v>
      </c>
    </row>
    <row r="844" spans="1:2" x14ac:dyDescent="0.25">
      <c r="A844" t="s">
        <v>1250</v>
      </c>
      <c r="B844" t="s">
        <v>3026</v>
      </c>
    </row>
    <row r="845" spans="1:2" x14ac:dyDescent="0.25">
      <c r="A845" t="s">
        <v>1251</v>
      </c>
      <c r="B845" t="s">
        <v>3027</v>
      </c>
    </row>
    <row r="846" spans="1:2" x14ac:dyDescent="0.25">
      <c r="A846" t="s">
        <v>1252</v>
      </c>
      <c r="B846" t="s">
        <v>3028</v>
      </c>
    </row>
    <row r="847" spans="1:2" x14ac:dyDescent="0.25">
      <c r="A847" t="s">
        <v>1253</v>
      </c>
      <c r="B847" t="s">
        <v>2993</v>
      </c>
    </row>
    <row r="848" spans="1:2" x14ac:dyDescent="0.25">
      <c r="A848" t="s">
        <v>1254</v>
      </c>
      <c r="B848" t="s">
        <v>3029</v>
      </c>
    </row>
    <row r="849" spans="1:2" x14ac:dyDescent="0.25">
      <c r="A849" t="s">
        <v>1255</v>
      </c>
      <c r="B849" t="s">
        <v>3030</v>
      </c>
    </row>
    <row r="850" spans="1:2" x14ac:dyDescent="0.25">
      <c r="A850" t="s">
        <v>1256</v>
      </c>
      <c r="B850" t="s">
        <v>3031</v>
      </c>
    </row>
    <row r="851" spans="1:2" x14ac:dyDescent="0.25">
      <c r="A851" t="s">
        <v>1257</v>
      </c>
      <c r="B851" t="s">
        <v>3032</v>
      </c>
    </row>
    <row r="852" spans="1:2" x14ac:dyDescent="0.25">
      <c r="A852" t="s">
        <v>1258</v>
      </c>
      <c r="B852" t="s">
        <v>3033</v>
      </c>
    </row>
    <row r="853" spans="1:2" x14ac:dyDescent="0.25">
      <c r="A853" t="s">
        <v>1259</v>
      </c>
      <c r="B853" t="s">
        <v>3034</v>
      </c>
    </row>
    <row r="854" spans="1:2" x14ac:dyDescent="0.25">
      <c r="A854" t="s">
        <v>1260</v>
      </c>
      <c r="B854" t="s">
        <v>3035</v>
      </c>
    </row>
    <row r="855" spans="1:2" x14ac:dyDescent="0.25">
      <c r="A855" t="s">
        <v>1261</v>
      </c>
      <c r="B855" t="s">
        <v>3036</v>
      </c>
    </row>
    <row r="856" spans="1:2" x14ac:dyDescent="0.25">
      <c r="A856" t="s">
        <v>1262</v>
      </c>
      <c r="B856" t="s">
        <v>3037</v>
      </c>
    </row>
    <row r="857" spans="1:2" x14ac:dyDescent="0.25">
      <c r="A857" t="s">
        <v>1263</v>
      </c>
      <c r="B857" t="s">
        <v>3038</v>
      </c>
    </row>
    <row r="858" spans="1:2" x14ac:dyDescent="0.25">
      <c r="A858" t="s">
        <v>1264</v>
      </c>
      <c r="B858" t="s">
        <v>3039</v>
      </c>
    </row>
    <row r="859" spans="1:2" x14ac:dyDescent="0.25">
      <c r="A859" t="s">
        <v>1265</v>
      </c>
      <c r="B859" t="s">
        <v>3040</v>
      </c>
    </row>
    <row r="860" spans="1:2" x14ac:dyDescent="0.25">
      <c r="A860" t="s">
        <v>1266</v>
      </c>
      <c r="B860" t="s">
        <v>3041</v>
      </c>
    </row>
    <row r="861" spans="1:2" x14ac:dyDescent="0.25">
      <c r="A861" t="s">
        <v>1267</v>
      </c>
      <c r="B861" t="s">
        <v>3042</v>
      </c>
    </row>
    <row r="862" spans="1:2" x14ac:dyDescent="0.25">
      <c r="A862" t="s">
        <v>1268</v>
      </c>
      <c r="B862" t="s">
        <v>3043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6cc0010-95e0-4cd7-a238-c888b321e0b4" xsi:nil="true"/>
    <lcf76f155ced4ddcb4097134ff3c332f xmlns="a3ceda98-5c8c-4542-9434-68523790b466">
      <Terms xmlns="http://schemas.microsoft.com/office/infopath/2007/PartnerControls"/>
    </lcf76f155ced4ddcb4097134ff3c332f>
    <SPAnnouncement xmlns="19f7c5a4-785c-437a-b74a-46914bf19058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CEF1C18D2B57D4C80A5BD0942445F73" ma:contentTypeVersion="" ma:contentTypeDescription="Create a new document." ma:contentTypeScope="" ma:versionID="28c13a699f6f23441b6326f1a0540959">
  <xsd:schema xmlns:xsd="http://www.w3.org/2001/XMLSchema" xmlns:xs="http://www.w3.org/2001/XMLSchema" xmlns:p="http://schemas.microsoft.com/office/2006/metadata/properties" xmlns:ns2="19f7c5a4-785c-437a-b74a-46914bf19058" xmlns:ns3="a3ceda98-5c8c-4542-9434-68523790b466" xmlns:ns4="86cc0010-95e0-4cd7-a238-c888b321e0b4" targetNamespace="http://schemas.microsoft.com/office/2006/metadata/properties" ma:root="true" ma:fieldsID="98d630cb99b0531d5082e0c670188551" ns2:_="" ns3:_="" ns4:_="">
    <xsd:import namespace="19f7c5a4-785c-437a-b74a-46914bf19058"/>
    <xsd:import namespace="a3ceda98-5c8c-4542-9434-68523790b466"/>
    <xsd:import namespace="86cc0010-95e0-4cd7-a238-c888b321e0b4"/>
    <xsd:element name="properties">
      <xsd:complexType>
        <xsd:sequence>
          <xsd:element name="documentManagement">
            <xsd:complexType>
              <xsd:all>
                <xsd:element ref="ns2:SPAnnouncement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4:TaxCatchAll" minOccurs="0"/>
                <xsd:element ref="ns3:MediaServiceDateTaken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7c5a4-785c-437a-b74a-46914bf19058" elementFormDefault="qualified">
    <xsd:import namespace="http://schemas.microsoft.com/office/2006/documentManagement/types"/>
    <xsd:import namespace="http://schemas.microsoft.com/office/infopath/2007/PartnerControls"/>
    <xsd:element name="SPAnnouncement" ma:index="8" nillable="true" ma:displayName="SPAnnouncement" ma:default="" ma:description="MPS SharePoint Announcement" ma:internalName="SPAnnouncement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ll Divisions"/>
                    <xsd:enumeration value="110-ISG"/>
                    <xsd:enumeration value="120-ESG"/>
                    <xsd:enumeration value="140-FSG"/>
                    <xsd:enumeration value="150-OHFM"/>
                    <xsd:enumeration value="160-OHFS"/>
                    <xsd:enumeration value="180-GSC"/>
                    <xsd:enumeration value="190-ADM"/>
                  </xsd:restriction>
                </xsd:simple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ceda98-5c8c-4542-9434-68523790b4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2485e787-574c-43ec-888e-fd3d289151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cc0010-95e0-4cd7-a238-c888b321e0b4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7AF3B769-4E93-4ED9-8708-1A41367A02E5}" ma:internalName="TaxCatchAll" ma:showField="CatchAllData" ma:web="{1eb82e64-04a6-41d9-aaa9-de3feff60ed5}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87C3B2A-20D7-462E-8E45-214E00D1059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138F10E-CAF7-414A-9145-C2E8A76F6DE3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9625CF0F-6DAA-4BE1-A819-EDCC42B73705}">
  <ds:schemaRefs>
    <ds:schemaRef ds:uri="http://schemas.microsoft.com/office/2006/metadata/properties"/>
    <ds:schemaRef ds:uri="http://schemas.microsoft.com/office/infopath/2007/PartnerControls"/>
    <ds:schemaRef ds:uri="86cc0010-95e0-4cd7-a238-c888b321e0b4"/>
    <ds:schemaRef ds:uri="a3ceda98-5c8c-4542-9434-68523790b466"/>
    <ds:schemaRef ds:uri="19f7c5a4-785c-437a-b74a-46914bf19058"/>
  </ds:schemaRefs>
</ds:datastoreItem>
</file>

<file path=customXml/itemProps4.xml><?xml version="1.0" encoding="utf-8"?>
<ds:datastoreItem xmlns:ds="http://schemas.openxmlformats.org/officeDocument/2006/customXml" ds:itemID="{599EED9E-3961-4306-AE7F-9D7097BADE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9f7c5a4-785c-437a-b74a-46914bf19058"/>
    <ds:schemaRef ds:uri="a3ceda98-5c8c-4542-9434-68523790b466"/>
    <ds:schemaRef ds:uri="86cc0010-95e0-4cd7-a238-c888b321e0b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Shipment Data Updated</vt:lpstr>
      <vt:lpstr>Report List</vt:lpstr>
      <vt:lpstr>Selection Lists</vt:lpstr>
      <vt:lpstr>Customer List</vt:lpstr>
      <vt:lpstr>Approved Vendors</vt:lpstr>
      <vt:lpstr>Source Codes</vt:lpstr>
      <vt:lpstr>Form Codes</vt:lpstr>
      <vt:lpstr>Hazardous Waste Treatment Codes</vt:lpstr>
      <vt:lpstr>EWC Codes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Learned, Chadwick</dc:creator>
  <cp:keywords/>
  <dc:description/>
  <cp:lastModifiedBy>Kicko, Joseph</cp:lastModifiedBy>
  <cp:revision/>
  <dcterms:created xsi:type="dcterms:W3CDTF">2024-09-26T19:17:58Z</dcterms:created>
  <dcterms:modified xsi:type="dcterms:W3CDTF">2026-02-03T18:30:00Z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0x0101006CEF1C18D2B57D4C80A5BD0942445F73</vt:lpwstr>
  </property>
  <property fmtid="{D5CDD505-2E9C-101B-9397-08002B2CF9AE}" pid="3" name="MediaServiceImageTags">
    <vt:lpwstr/>
  </property>
</Properties>
</file>